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NTABILIDAD\INFORMES PARA LOS ASESORES\CUADRO DE COMISIONES 2026\"/>
    </mc:Choice>
  </mc:AlternateContent>
  <xr:revisionPtr revIDLastSave="0" documentId="13_ncr:1_{76DF279B-402C-44B8-BE9E-0D2A2B3BBBDA}" xr6:coauthVersionLast="47" xr6:coauthVersionMax="47" xr10:uidLastSave="{00000000-0000-0000-0000-000000000000}"/>
  <bookViews>
    <workbookView xWindow="-135" yWindow="0" windowWidth="12885" windowHeight="12780" firstSheet="7" activeTab="11" xr2:uid="{00000000-000D-0000-FFFF-FFFF00000000}"/>
  </bookViews>
  <sheets>
    <sheet name="D1" sheetId="1" r:id="rId1"/>
    <sheet name="D2" sheetId="2" r:id="rId2"/>
    <sheet name="Hoja2" sheetId="16" r:id="rId3"/>
    <sheet name="ALFREDO" sheetId="3" r:id="rId4"/>
    <sheet name="BELI" sheetId="4" r:id="rId5"/>
    <sheet name="JORDY" sheetId="5" r:id="rId6"/>
    <sheet name="BRISLENDA" sheetId="6" r:id="rId7"/>
    <sheet name="YOSI" sheetId="7" r:id="rId8"/>
    <sheet name="LIDIA" sheetId="8" r:id="rId9"/>
    <sheet name="JENNY" sheetId="9" r:id="rId10"/>
    <sheet name="EDEN" sheetId="10" r:id="rId11"/>
    <sheet name="ALE" sheetId="11" r:id="rId12"/>
    <sheet name="VICTOR" sheetId="12" r:id="rId13"/>
    <sheet name="HUDILUNIA" sheetId="13" r:id="rId14"/>
    <sheet name="YANDIRA" sheetId="14" r:id="rId15"/>
    <sheet name="Hoja1" sheetId="15" r:id="rId16"/>
  </sheets>
  <definedNames>
    <definedName name="_xlnm._FilterDatabase" localSheetId="1" hidden="1">'D2'!$B$3:$B$131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2" i="2" l="1"/>
  <c r="I81" i="2"/>
  <c r="I115" i="2"/>
  <c r="I123" i="2"/>
  <c r="I124" i="2"/>
  <c r="I125" i="2"/>
  <c r="I14" i="2"/>
  <c r="I32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86" i="2"/>
  <c r="I60" i="9"/>
  <c r="I58" i="2"/>
  <c r="I57" i="2"/>
  <c r="I56" i="2"/>
  <c r="I55" i="2"/>
  <c r="I54" i="2"/>
  <c r="I53" i="2"/>
  <c r="I52" i="2"/>
  <c r="I51" i="2"/>
  <c r="I50" i="2"/>
  <c r="I49" i="2"/>
  <c r="I48" i="2"/>
  <c r="I136" i="2"/>
  <c r="I47" i="2"/>
  <c r="I46" i="2"/>
  <c r="I45" i="2"/>
  <c r="I44" i="2"/>
  <c r="I87" i="2" l="1"/>
  <c r="I88" i="2"/>
  <c r="I89" i="2"/>
  <c r="I90" i="2"/>
  <c r="I91" i="2"/>
  <c r="I92" i="2"/>
  <c r="I93" i="2"/>
  <c r="I94" i="2"/>
  <c r="I95" i="2"/>
  <c r="I96" i="2"/>
  <c r="I97" i="2"/>
  <c r="I37" i="2"/>
  <c r="I25" i="2"/>
  <c r="I27" i="2"/>
  <c r="I36" i="2"/>
  <c r="I28" i="2"/>
  <c r="I29" i="2"/>
  <c r="I26" i="2"/>
  <c r="I30" i="2"/>
  <c r="I31" i="2"/>
  <c r="I33" i="2"/>
  <c r="I34" i="2"/>
  <c r="I132" i="16"/>
  <c r="I131" i="16"/>
  <c r="J133" i="16" s="1"/>
  <c r="I130" i="16"/>
  <c r="I122" i="16"/>
  <c r="I121" i="16"/>
  <c r="I123" i="16" s="1"/>
  <c r="I120" i="16"/>
  <c r="I119" i="16"/>
  <c r="I118" i="16"/>
  <c r="I112" i="16"/>
  <c r="I113" i="16" s="1"/>
  <c r="I106" i="16"/>
  <c r="I105" i="16"/>
  <c r="I104" i="16"/>
  <c r="I100" i="16"/>
  <c r="I99" i="16"/>
  <c r="I98" i="16"/>
  <c r="I97" i="16"/>
  <c r="I96" i="16"/>
  <c r="I95" i="16"/>
  <c r="I94" i="16"/>
  <c r="I93" i="16"/>
  <c r="I92" i="16"/>
  <c r="I86" i="16"/>
  <c r="I85" i="16"/>
  <c r="I84" i="16"/>
  <c r="I83" i="16"/>
  <c r="I87" i="16" s="1"/>
  <c r="I77" i="16"/>
  <c r="I76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70" i="16" s="1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53" i="16" s="1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36" i="16" s="1"/>
  <c r="I35" i="2"/>
  <c r="I38" i="2"/>
  <c r="I111" i="2"/>
  <c r="I116" i="2" s="1"/>
  <c r="I112" i="2"/>
  <c r="I114" i="2"/>
  <c r="I113" i="2"/>
  <c r="J52" i="1"/>
  <c r="J26" i="1"/>
  <c r="I12" i="1"/>
  <c r="I20" i="1"/>
  <c r="I51" i="1"/>
  <c r="J26" i="5"/>
  <c r="I31" i="5"/>
  <c r="I32" i="5"/>
  <c r="I33" i="5"/>
  <c r="I34" i="5"/>
  <c r="I30" i="5"/>
  <c r="I22" i="5"/>
  <c r="I23" i="5"/>
  <c r="I9" i="5"/>
  <c r="I10" i="5"/>
  <c r="I12" i="5"/>
  <c r="J56" i="11"/>
  <c r="I54" i="11"/>
  <c r="I36" i="11"/>
  <c r="I63" i="11"/>
  <c r="I62" i="11"/>
  <c r="I25" i="11"/>
  <c r="I23" i="11"/>
  <c r="I24" i="11"/>
  <c r="I37" i="11"/>
  <c r="I35" i="11"/>
  <c r="I9" i="11"/>
  <c r="I12" i="11"/>
  <c r="I45" i="11"/>
  <c r="J101" i="16" l="1"/>
  <c r="J123" i="16"/>
  <c r="I64" i="11"/>
  <c r="J64" i="11" s="1"/>
  <c r="J125" i="16" l="1"/>
  <c r="J135" i="16" s="1"/>
  <c r="I62" i="9"/>
  <c r="I61" i="9"/>
  <c r="I59" i="9"/>
  <c r="I29" i="9"/>
  <c r="I28" i="9"/>
  <c r="I30" i="9"/>
  <c r="I31" i="9"/>
  <c r="I32" i="9"/>
  <c r="I33" i="9"/>
  <c r="I18" i="9"/>
  <c r="I19" i="9"/>
  <c r="I52" i="9"/>
  <c r="I51" i="9"/>
  <c r="I42" i="9"/>
  <c r="I46" i="9"/>
  <c r="I50" i="9"/>
  <c r="I49" i="9"/>
  <c r="I48" i="9"/>
  <c r="I45" i="9"/>
  <c r="I44" i="9"/>
  <c r="I43" i="9"/>
  <c r="I41" i="9"/>
  <c r="I40" i="9"/>
  <c r="I63" i="9" l="1"/>
  <c r="J64" i="9" s="1"/>
  <c r="I46" i="11"/>
  <c r="I11" i="1"/>
  <c r="I20" i="9" l="1"/>
  <c r="I21" i="2"/>
  <c r="I17" i="2"/>
  <c r="I24" i="2" l="1"/>
  <c r="I22" i="2"/>
  <c r="I23" i="2"/>
  <c r="I39" i="11"/>
  <c r="I38" i="11"/>
  <c r="I26" i="11"/>
  <c r="I21" i="11"/>
  <c r="I47" i="9"/>
  <c r="I39" i="9"/>
  <c r="I38" i="9"/>
  <c r="I9" i="9"/>
  <c r="I6" i="9"/>
  <c r="I17" i="9"/>
  <c r="I16" i="9"/>
  <c r="I20" i="5"/>
  <c r="I11" i="5"/>
  <c r="I19" i="1"/>
  <c r="I20" i="2"/>
  <c r="I19" i="2"/>
  <c r="I18" i="2"/>
  <c r="I53" i="9" l="1"/>
  <c r="I11" i="11"/>
  <c r="I13" i="11"/>
  <c r="I7" i="11"/>
  <c r="I16" i="2"/>
  <c r="I15" i="2"/>
  <c r="I8" i="11"/>
  <c r="I6" i="11"/>
  <c r="I24" i="5"/>
  <c r="I10" i="1"/>
  <c r="I18" i="1"/>
  <c r="I9" i="1"/>
  <c r="I104" i="2"/>
  <c r="I105" i="2" s="1"/>
  <c r="I122" i="2"/>
  <c r="I98" i="2"/>
  <c r="I11" i="2"/>
  <c r="I15" i="9"/>
  <c r="I27" i="9"/>
  <c r="I34" i="9" s="1"/>
  <c r="I12" i="9"/>
  <c r="I13" i="9"/>
  <c r="I14" i="9"/>
  <c r="I8" i="5"/>
  <c r="I21" i="5"/>
  <c r="I10" i="11"/>
  <c r="I35" i="5" l="1"/>
  <c r="J36" i="5" s="1"/>
  <c r="I26" i="5"/>
  <c r="I9" i="2"/>
  <c r="I8" i="2"/>
  <c r="I10" i="2"/>
  <c r="I7" i="2"/>
  <c r="I6" i="2"/>
  <c r="I22" i="11"/>
  <c r="I27" i="11" s="1"/>
  <c r="C23" i="15"/>
  <c r="I6" i="13" l="1"/>
  <c r="I14" i="11"/>
  <c r="I14" i="14"/>
  <c r="I12" i="2"/>
  <c r="I34" i="1"/>
  <c r="I25" i="1"/>
  <c r="I8" i="1"/>
  <c r="I34" i="11"/>
  <c r="I40" i="11" s="1"/>
  <c r="I29" i="14"/>
  <c r="I28" i="14"/>
  <c r="I27" i="14"/>
  <c r="I26" i="14"/>
  <c r="I25" i="14"/>
  <c r="I24" i="14"/>
  <c r="I23" i="14"/>
  <c r="I22" i="14"/>
  <c r="I21" i="14"/>
  <c r="I20" i="14"/>
  <c r="I19" i="14"/>
  <c r="I30" i="14" s="1"/>
  <c r="I7" i="14"/>
  <c r="I8" i="14"/>
  <c r="I9" i="14"/>
  <c r="I10" i="14"/>
  <c r="I11" i="14"/>
  <c r="I12" i="14"/>
  <c r="I13" i="14"/>
  <c r="I11" i="9"/>
  <c r="I8" i="4"/>
  <c r="I9" i="6"/>
  <c r="I8" i="13"/>
  <c r="I9" i="13" s="1"/>
  <c r="I19" i="8"/>
  <c r="I18" i="8"/>
  <c r="I6" i="10"/>
  <c r="I8" i="6"/>
  <c r="I7" i="6"/>
  <c r="I12" i="6" s="1"/>
  <c r="I6" i="6"/>
  <c r="I7" i="8"/>
  <c r="I6" i="8"/>
  <c r="I20" i="12"/>
  <c r="I8" i="12"/>
  <c r="I7" i="12"/>
  <c r="I6" i="12"/>
  <c r="I12" i="4"/>
  <c r="I11" i="4"/>
  <c r="I10" i="4"/>
  <c r="I9" i="4"/>
  <c r="I7" i="4"/>
  <c r="I6" i="4"/>
  <c r="I13" i="4" s="1"/>
  <c r="I9" i="3"/>
  <c r="I8" i="3"/>
  <c r="I7" i="3"/>
  <c r="I6" i="3"/>
  <c r="I19" i="10"/>
  <c r="I18" i="10"/>
  <c r="I17" i="10"/>
  <c r="I16" i="10"/>
  <c r="I15" i="10"/>
  <c r="I7" i="10"/>
  <c r="I6" i="14"/>
  <c r="I6" i="7"/>
  <c r="I10" i="9"/>
  <c r="I8" i="9"/>
  <c r="I7" i="9"/>
  <c r="I53" i="11"/>
  <c r="I126" i="2"/>
  <c r="I129" i="2" s="1"/>
  <c r="J129" i="2" s="1"/>
  <c r="I13" i="2"/>
  <c r="I7" i="5"/>
  <c r="I6" i="5"/>
  <c r="I7" i="13"/>
  <c r="I7" i="1"/>
  <c r="I42" i="2" l="1"/>
  <c r="J118" i="2" s="1"/>
  <c r="J131" i="2" s="1"/>
  <c r="I21" i="9"/>
  <c r="J53" i="9" s="1"/>
  <c r="I14" i="5"/>
  <c r="I26" i="1"/>
  <c r="I16" i="14"/>
  <c r="J31" i="14" s="1"/>
  <c r="J13" i="4"/>
  <c r="J12" i="6"/>
  <c r="I21" i="8"/>
  <c r="J21" i="8" s="1"/>
  <c r="I12" i="8"/>
  <c r="J12" i="8" s="1"/>
  <c r="I10" i="7"/>
  <c r="J10" i="7" s="1"/>
  <c r="I13" i="12"/>
  <c r="J13" i="12" s="1"/>
  <c r="I21" i="12"/>
  <c r="J21" i="12" s="1"/>
  <c r="I11" i="3"/>
  <c r="J11" i="3" s="1"/>
  <c r="I8" i="10"/>
  <c r="J8" i="10" s="1"/>
  <c r="I20" i="10"/>
  <c r="J20" i="10" s="1"/>
  <c r="I55" i="11"/>
  <c r="J9" i="13"/>
  <c r="I6" i="1"/>
  <c r="I50" i="1" l="1"/>
  <c r="I49" i="1"/>
  <c r="I52" i="1" s="1"/>
  <c r="I43" i="1"/>
  <c r="I42" i="1"/>
  <c r="I41" i="1"/>
  <c r="I33" i="1"/>
  <c r="J138" i="2" l="1"/>
  <c r="I35" i="1"/>
  <c r="I44" i="1"/>
</calcChain>
</file>

<file path=xl/sharedStrings.xml><?xml version="1.0" encoding="utf-8"?>
<sst xmlns="http://schemas.openxmlformats.org/spreadsheetml/2006/main" count="1309" uniqueCount="322">
  <si>
    <t xml:space="preserve">GRUPO VIVENCIA </t>
  </si>
  <si>
    <t xml:space="preserve">APELLIDOS Y NOMBRES </t>
  </si>
  <si>
    <t xml:space="preserve">LOTE </t>
  </si>
  <si>
    <t>MANZANA</t>
  </si>
  <si>
    <t>A</t>
  </si>
  <si>
    <t xml:space="preserve">DEPOSITO </t>
  </si>
  <si>
    <t xml:space="preserve">PORCENTAJE </t>
  </si>
  <si>
    <t xml:space="preserve">TOTAL PORCENTAJE </t>
  </si>
  <si>
    <t xml:space="preserve">Nº CUOTA, INICIAL, RESERVA </t>
  </si>
  <si>
    <t xml:space="preserve">TOTAL </t>
  </si>
  <si>
    <t xml:space="preserve">VILLA RESIDENCIAL HUAYPO GRANDE </t>
  </si>
  <si>
    <t xml:space="preserve">ASOCIACION LUMINARI HUAYPO </t>
  </si>
  <si>
    <t xml:space="preserve">Nº DEPOSITO </t>
  </si>
  <si>
    <t xml:space="preserve">LAGUNALUX HUAYPO RESIDENCES </t>
  </si>
  <si>
    <t>PROYECTO MONTE VERDE  1 y 2</t>
  </si>
  <si>
    <t>B</t>
  </si>
  <si>
    <t>F</t>
  </si>
  <si>
    <t>D</t>
  </si>
  <si>
    <t>K</t>
  </si>
  <si>
    <t>C</t>
  </si>
  <si>
    <t>L</t>
  </si>
  <si>
    <t>RESERVA</t>
  </si>
  <si>
    <t>E</t>
  </si>
  <si>
    <t>SANDRA CHAHUAYO GRANILLA</t>
  </si>
  <si>
    <t>INICIAL</t>
  </si>
  <si>
    <t>G</t>
  </si>
  <si>
    <t xml:space="preserve">INICIAL </t>
  </si>
  <si>
    <t>KELLY JUANA HUAMAN GAMARRA</t>
  </si>
  <si>
    <t xml:space="preserve">PROYECTO AMAZONIA PRIME </t>
  </si>
  <si>
    <t>J</t>
  </si>
  <si>
    <t xml:space="preserve">CONDOMINIO Y RESORT BELEZA </t>
  </si>
  <si>
    <t xml:space="preserve">AGUILAR TAMAYO JORDY CRISTHIAN </t>
  </si>
  <si>
    <t xml:space="preserve">GUTIERREZ GUTIERREZ VICTORIA </t>
  </si>
  <si>
    <t xml:space="preserve">NINA URURO ROMUALDO </t>
  </si>
  <si>
    <t xml:space="preserve">VARGAS TINTA ELIZABETH </t>
  </si>
  <si>
    <t xml:space="preserve">ORIHUELA GRANEROS TANIA </t>
  </si>
  <si>
    <t xml:space="preserve">GALLEGOS VILLEGAS JOSE LUIS </t>
  </si>
  <si>
    <t>I</t>
  </si>
  <si>
    <t>02</t>
  </si>
  <si>
    <t>434225-434242</t>
  </si>
  <si>
    <t>29-30</t>
  </si>
  <si>
    <t xml:space="preserve">BETO HUANCACHOQUE QUISPE </t>
  </si>
  <si>
    <t xml:space="preserve">PROYECTO CONDOMINIO ROMEO </t>
  </si>
  <si>
    <t xml:space="preserve">PROYECTO CONDOMINIO Y RESORT BELEZA </t>
  </si>
  <si>
    <t xml:space="preserve">MOISES DIEGO LAZO VARGAS </t>
  </si>
  <si>
    <t xml:space="preserve">OCTAVIO APAZA RAMOS </t>
  </si>
  <si>
    <t>JANNY LUZ FASABE TUESTA</t>
  </si>
  <si>
    <t>BRIANNA LIZETH SANCHEZ RIVERO</t>
  </si>
  <si>
    <t>H</t>
  </si>
  <si>
    <t>06-08</t>
  </si>
  <si>
    <t>3860790-2375-2381</t>
  </si>
  <si>
    <t xml:space="preserve">ROCIO DEL CARMEN GARCIA CHACON </t>
  </si>
  <si>
    <t xml:space="preserve">ROY ANDERSON ALMANZA AUCCAPUMA </t>
  </si>
  <si>
    <t>ANDERSON TACUSI MAQQUERHUA</t>
  </si>
  <si>
    <t>GIOVANA VILLA PALOMINO</t>
  </si>
  <si>
    <t>ELOY RODRIGO CHUMBES HUAYLLANI</t>
  </si>
  <si>
    <t xml:space="preserve">EDMUNDO HUAMAN GUTIERREZ </t>
  </si>
  <si>
    <t xml:space="preserve">LUIS UBALDO MIRANDA ROMERO </t>
  </si>
  <si>
    <t>9</t>
  </si>
  <si>
    <t>ABDIAS SALATIEL SEMPERTEGUI BARAHONA</t>
  </si>
  <si>
    <t>NADIA FERRO ARAPA</t>
  </si>
  <si>
    <t>EDUARDO JOSE CANDIA VILCA</t>
  </si>
  <si>
    <t>N</t>
  </si>
  <si>
    <t>RONY ALBERTO NINA HUISA</t>
  </si>
  <si>
    <t>NORMA HUISA MAQQUE</t>
  </si>
  <si>
    <t>40231057-1820</t>
  </si>
  <si>
    <t xml:space="preserve">ANA MARIA JARAMILLO CASTILLO </t>
  </si>
  <si>
    <t>17-18</t>
  </si>
  <si>
    <t xml:space="preserve">VICTORIA MILAGROS RAMIREZ VARGAS </t>
  </si>
  <si>
    <t>EUDALIA PEÑA MANACES</t>
  </si>
  <si>
    <t>VANESA CHAGUA AMBROSIO</t>
  </si>
  <si>
    <t xml:space="preserve">ZAIDA KATY MEZA JORDAN </t>
  </si>
  <si>
    <t xml:space="preserve">RAQUEL LEANDRA POCCO VELARDE </t>
  </si>
  <si>
    <t>JENNY CASTRO 1%</t>
  </si>
  <si>
    <t xml:space="preserve">CONDOMINIO MONTE VERDE-CONDOMINIO Y RESORT BELEZA  </t>
  </si>
  <si>
    <t>CARLOS DAVID CUSI AUCCA</t>
  </si>
  <si>
    <t>KATIA ALEXANDRA MASIAS OLLANCAYA</t>
  </si>
  <si>
    <t>3</t>
  </si>
  <si>
    <t xml:space="preserve">AMAZONIA PRIME </t>
  </si>
  <si>
    <t xml:space="preserve">MARIA MERCEDES MOREANO  HUAMAN </t>
  </si>
  <si>
    <t xml:space="preserve">NAIDA YANINE URQUIZO ZELA </t>
  </si>
  <si>
    <t xml:space="preserve">DELIA CURO SOTO </t>
  </si>
  <si>
    <t>7-8</t>
  </si>
  <si>
    <t xml:space="preserve">RESERVA </t>
  </si>
  <si>
    <t>OK</t>
  </si>
  <si>
    <t>KARINA BERRIOS HUALLPA</t>
  </si>
  <si>
    <t>11</t>
  </si>
  <si>
    <t xml:space="preserve">TEOFILO CHINCHAY RAMIREZ </t>
  </si>
  <si>
    <t>8</t>
  </si>
  <si>
    <t>16-18</t>
  </si>
  <si>
    <t xml:space="preserve">JERONIMO CCAAHUANA QUISPE </t>
  </si>
  <si>
    <t>7</t>
  </si>
  <si>
    <t>AMERICO COSTILLA PUMA</t>
  </si>
  <si>
    <t xml:space="preserve">AMAZONIA GOLD </t>
  </si>
  <si>
    <t>13</t>
  </si>
  <si>
    <t>FLOR ANDREA CRUZ RAMOS</t>
  </si>
  <si>
    <t>PROYECTO MONTE VERDE</t>
  </si>
  <si>
    <t>CONDOMINIO LAIRA</t>
  </si>
  <si>
    <t xml:space="preserve">ELIZABETH ERICA INOSTROZA ORTIZ </t>
  </si>
  <si>
    <t>JEAN POOL LAURA  PORRAS</t>
  </si>
  <si>
    <t xml:space="preserve">NORMA HUISA MAQQUE </t>
  </si>
  <si>
    <t xml:space="preserve">RONY ALBERTO NINA HUISA </t>
  </si>
  <si>
    <t xml:space="preserve">JENNYFER ALEXANDRA LACUANA DIESTRA </t>
  </si>
  <si>
    <t xml:space="preserve">CONDOMINIO AMAZONIA GOLD </t>
  </si>
  <si>
    <t xml:space="preserve">VICTOR QUISPE UNUYSONCCO </t>
  </si>
  <si>
    <t xml:space="preserve">MERCEDES BARRERAS QUISPE </t>
  </si>
  <si>
    <t xml:space="preserve">JOSE SAUL MARTOS VILCHEZ </t>
  </si>
  <si>
    <t>,</t>
  </si>
  <si>
    <t xml:space="preserve">GHISELA RIVERA MUJICA </t>
  </si>
  <si>
    <t xml:space="preserve">YSABELL ALLPACCA MAYTA </t>
  </si>
  <si>
    <t>EMILY ARLETH PAREDES JIHUAÑA</t>
  </si>
  <si>
    <t>M</t>
  </si>
  <si>
    <t xml:space="preserve">ENZO GINO VILLENA SALDIVAR </t>
  </si>
  <si>
    <t xml:space="preserve">YONI LOPEZ HUILLCA DE BORDA </t>
  </si>
  <si>
    <t>CARLOS LEONCIO ALARCON BELLOTA</t>
  </si>
  <si>
    <t>4</t>
  </si>
  <si>
    <t xml:space="preserve">EVELIN MASIAS TERRAZAS </t>
  </si>
  <si>
    <t xml:space="preserve">WILHELM PAVEL ANCASI FLOREZ </t>
  </si>
  <si>
    <t xml:space="preserve">RUBEN TINEO RODRIGUEZ </t>
  </si>
  <si>
    <t xml:space="preserve">EULALIA TITO ANCAYE </t>
  </si>
  <si>
    <t>WALTER HUACASI CAHNUINA</t>
  </si>
  <si>
    <t>MARIZA CHARA CCOYA</t>
  </si>
  <si>
    <t xml:space="preserve">NOHEMI FERNANDEZ CONTRERAS </t>
  </si>
  <si>
    <t xml:space="preserve">JIDIXA SANCHEZ TAPIA </t>
  </si>
  <si>
    <t xml:space="preserve">OLGER PILLPPE QUISÉ </t>
  </si>
  <si>
    <t>DANNY CRISANTO SATALAYA</t>
  </si>
  <si>
    <t xml:space="preserve">LUZ MARIA DEZA DIEGO </t>
  </si>
  <si>
    <t xml:space="preserve">PHINPHENELA MOLERO VEGA </t>
  </si>
  <si>
    <t xml:space="preserve">LUZMILA MAMANI PONGO </t>
  </si>
  <si>
    <t xml:space="preserve">PROYECTO ROMEO </t>
  </si>
  <si>
    <t xml:space="preserve">PEDRO QUISPE SASARY </t>
  </si>
  <si>
    <t>MARGOT MERMA MAQQUERE</t>
  </si>
  <si>
    <t xml:space="preserve">DAYANA LAURA GARCIA MAMANI </t>
  </si>
  <si>
    <t xml:space="preserve">DAMARIS CARAZAS QUINTANILLA </t>
  </si>
  <si>
    <t>LEINY SUSAN TRUJILLO SALCEDO</t>
  </si>
  <si>
    <t xml:space="preserve">ROSA LUZ CARAZAS SALAS </t>
  </si>
  <si>
    <t>MARIELA HUARI  CALLAPIÑA</t>
  </si>
  <si>
    <t>13-14</t>
  </si>
  <si>
    <t xml:space="preserve">MARIA DE JESUS SULLCA QUISPE </t>
  </si>
  <si>
    <t xml:space="preserve">GUILMAR LUIS PEREZ GARCIA </t>
  </si>
  <si>
    <t xml:space="preserve">NEPTALI RODRIGO DELGADO CUADROS </t>
  </si>
  <si>
    <t>JUAN CARLOS CCAHUANA  CONCHA</t>
  </si>
  <si>
    <t>PAUL FLORES CASAPERALTA</t>
  </si>
  <si>
    <t xml:space="preserve"> PROYECTO AMAZONIA GOLD </t>
  </si>
  <si>
    <t xml:space="preserve">ETEL AYDA CHACALLA QUISPE </t>
  </si>
  <si>
    <t>9-10</t>
  </si>
  <si>
    <t>NANCY CAYO MACCAPA</t>
  </si>
  <si>
    <t>TOTAL</t>
  </si>
  <si>
    <t>LISBETH TERESA LUJAN CAMAYTIRI</t>
  </si>
  <si>
    <t>6-7</t>
  </si>
  <si>
    <t xml:space="preserve">JUAN CARLOS HUARACA HILACHOQUE </t>
  </si>
  <si>
    <t>14</t>
  </si>
  <si>
    <t xml:space="preserve">GORKI BORDA LUZA </t>
  </si>
  <si>
    <t>.</t>
  </si>
  <si>
    <t>JUAN CARLOS SALAZAR CANSAYA</t>
  </si>
  <si>
    <t>CORINA TOLENTINO EUGENIO</t>
  </si>
  <si>
    <t xml:space="preserve">JOSIMAR -HUDILUNIA-YANDIRA-MARIA LUCRECIA-JACKELINE-FELIPE 1% </t>
  </si>
  <si>
    <t>KELLY HUAMAN GAMARRA</t>
  </si>
  <si>
    <t>JORDY CRISTIAN AGUILAR TAMAYO</t>
  </si>
  <si>
    <t>ROSINDA QUISPE CONSENES</t>
  </si>
  <si>
    <t>FLOR ANDREA QUSIPE ESCALANTE</t>
  </si>
  <si>
    <t>MARISOL QUISPE COILA</t>
  </si>
  <si>
    <t>EDWIN HUAMANI MENDOZA</t>
  </si>
  <si>
    <t>SUSY RAMIREZ SANDY</t>
  </si>
  <si>
    <t xml:space="preserve">DIANA ALVAREZ ZEVALLOS </t>
  </si>
  <si>
    <t>12</t>
  </si>
  <si>
    <t>ROCIO CUSIHUAMAN SALAZAR</t>
  </si>
  <si>
    <t xml:space="preserve">RONAL RAMOS CALDERON </t>
  </si>
  <si>
    <t>JACKELINE ACUÑA SECCA</t>
  </si>
  <si>
    <t>1</t>
  </si>
  <si>
    <t>DAVID CRUZ PANTOJA</t>
  </si>
  <si>
    <t>5-6-7</t>
  </si>
  <si>
    <t xml:space="preserve">GIOVANA SAVITA SILVA CONDORI </t>
  </si>
  <si>
    <t xml:space="preserve">RONALD  MAMANI CCOA </t>
  </si>
  <si>
    <t xml:space="preserve">ROBERTO CJUNO HUANCA </t>
  </si>
  <si>
    <t>3-4</t>
  </si>
  <si>
    <t>PROYECTO CONDOMINIO LAIRA</t>
  </si>
  <si>
    <t xml:space="preserve">LIVIO SALLO VARGAS </t>
  </si>
  <si>
    <t>6</t>
  </si>
  <si>
    <t xml:space="preserve">CINTHIA YOJAIRA JACO HUAMAN </t>
  </si>
  <si>
    <t>NELIDA JACO HUAMAN</t>
  </si>
  <si>
    <t>DOMITILA HUAMAN PACHA</t>
  </si>
  <si>
    <t>MANUEL ROMERO TORRES</t>
  </si>
  <si>
    <t xml:space="preserve"> </t>
  </si>
  <si>
    <t xml:space="preserve">LUIS FERNANDO PORTUGAL QUISPE </t>
  </si>
  <si>
    <t>ERIC FERNANDO CJUNO HUARI</t>
  </si>
  <si>
    <t>MARIA LOURDES HUARI CASAS</t>
  </si>
  <si>
    <t>8-9</t>
  </si>
  <si>
    <t xml:space="preserve">JOUSE CHUQUIBALA GOMEZ </t>
  </si>
  <si>
    <t xml:space="preserve">RONALD SAUL CASA ROSADA </t>
  </si>
  <si>
    <t xml:space="preserve">PROYECTO EL DORADO </t>
  </si>
  <si>
    <t>JUVENAL TURPO QQUESUALLPA</t>
  </si>
  <si>
    <t>MARIA QUISPE HUALLPA</t>
  </si>
  <si>
    <t xml:space="preserve">SUSANA FUENTES LUNA </t>
  </si>
  <si>
    <t>17</t>
  </si>
  <si>
    <t>RODRIGO URIBE CANCHIRI</t>
  </si>
  <si>
    <t>MARISOL GUTIERREZ CHALCO</t>
  </si>
  <si>
    <t xml:space="preserve">LUZ VEGA PAVHECO </t>
  </si>
  <si>
    <t xml:space="preserve">MARIBEL IRENE MENACHO </t>
  </si>
  <si>
    <t>3481</t>
  </si>
  <si>
    <t>2-3</t>
  </si>
  <si>
    <t>WILLIAM QUISPE BERRERAS</t>
  </si>
  <si>
    <t>4089011-4126341</t>
  </si>
  <si>
    <t>E-F</t>
  </si>
  <si>
    <t>61168-5247296-1317404</t>
  </si>
  <si>
    <t>15</t>
  </si>
  <si>
    <t>16</t>
  </si>
  <si>
    <t xml:space="preserve">FLOR KARINA BERNA PUMA </t>
  </si>
  <si>
    <t xml:space="preserve">IVAN GUTIERREZ ÑAHUIS </t>
  </si>
  <si>
    <t>3646</t>
  </si>
  <si>
    <t>5608178</t>
  </si>
  <si>
    <t>573-2750906</t>
  </si>
  <si>
    <t>105-104</t>
  </si>
  <si>
    <t>4-5</t>
  </si>
  <si>
    <t>4749909-2077378</t>
  </si>
  <si>
    <t>1552428-1551554</t>
  </si>
  <si>
    <t>605-604-603</t>
  </si>
  <si>
    <t xml:space="preserve">MARIA QUISPE HUALLPA </t>
  </si>
  <si>
    <t xml:space="preserve">CIRO YUPANQUI FERNANDEZ </t>
  </si>
  <si>
    <t>4-1</t>
  </si>
  <si>
    <t>GRUPO VIVENCIA</t>
  </si>
  <si>
    <t xml:space="preserve">JEAN CARLO FARFAN APARICIO </t>
  </si>
  <si>
    <t xml:space="preserve">HUGO GERARDO  MENDOZA </t>
  </si>
  <si>
    <t>CINTHIA FIGUEROA ÑAUPA</t>
  </si>
  <si>
    <t xml:space="preserve">JHONEL GARCIA FACUNDO </t>
  </si>
  <si>
    <t xml:space="preserve">VICTOR PALOMINIO QUISPE </t>
  </si>
  <si>
    <t>609-522</t>
  </si>
  <si>
    <t xml:space="preserve">NELIDA </t>
  </si>
  <si>
    <t xml:space="preserve">ALEXANDRA CCANIHUA ALVAREZ </t>
  </si>
  <si>
    <t>BERTHA TURPO QQUESHUALLPA</t>
  </si>
  <si>
    <t>2</t>
  </si>
  <si>
    <t xml:space="preserve">BERIOSKA CASTILLA QUISPE </t>
  </si>
  <si>
    <t>7-8-9</t>
  </si>
  <si>
    <t xml:space="preserve">MIGUEL ANGEL CASTILLA QUISÉ </t>
  </si>
  <si>
    <t>10</t>
  </si>
  <si>
    <t xml:space="preserve">YOVANA SAIRE QUISPE </t>
  </si>
  <si>
    <t>FRANK EDISSON CCAÑIHUA ALVAREZ</t>
  </si>
  <si>
    <t>EUSEBIO ADRIAN QUISPE ALVARO</t>
  </si>
  <si>
    <t xml:space="preserve">ANIBAL VALENCIA BACA </t>
  </si>
  <si>
    <t>RUTH GILMA SAYHUA MAMANI</t>
  </si>
  <si>
    <t>4843810-1469159</t>
  </si>
  <si>
    <t>625166-626621</t>
  </si>
  <si>
    <t>4094-2059683</t>
  </si>
  <si>
    <t>BEIHILITH NAVARRTE ECHEGARAY</t>
  </si>
  <si>
    <t xml:space="preserve">RICHARD HUAYTA YUPANQUI </t>
  </si>
  <si>
    <t>BEIHILITH  NAVARRETE ECHEGARAY</t>
  </si>
  <si>
    <t>EDGAR JESUS ANCASI COLLANTES</t>
  </si>
  <si>
    <t>1736-838809</t>
  </si>
  <si>
    <t>840086-482335</t>
  </si>
  <si>
    <t>2104724-2102621</t>
  </si>
  <si>
    <t>1157719-3953280</t>
  </si>
  <si>
    <t>BERTHA CHALLCO LLACMA</t>
  </si>
  <si>
    <t xml:space="preserve">MARTHA LUCILA CAPACCA TORRES </t>
  </si>
  <si>
    <t>5417173-2883054</t>
  </si>
  <si>
    <t xml:space="preserve">VERONICA HUALLPARTUPA CARDENAS </t>
  </si>
  <si>
    <t>MARICELA DELGADO ERORI</t>
  </si>
  <si>
    <t xml:space="preserve">CARMEN ALVI HUILLCAHUE </t>
  </si>
  <si>
    <t xml:space="preserve">NOEL COSTILLA SUAÑA </t>
  </si>
  <si>
    <t>642-640</t>
  </si>
  <si>
    <t>YURI CCALISAYA FARFAN</t>
  </si>
  <si>
    <t xml:space="preserve">LUIS ALBERTO VALCARCEL </t>
  </si>
  <si>
    <t>1476453-84</t>
  </si>
  <si>
    <t>EVA  CANDIA OCHOA</t>
  </si>
  <si>
    <t>O</t>
  </si>
  <si>
    <t xml:space="preserve">VLADIMIR TITO GUTIERREZ </t>
  </si>
  <si>
    <t>3340-3328</t>
  </si>
  <si>
    <t xml:space="preserve">VERONICA NUÑEZ TEJEIRA </t>
  </si>
  <si>
    <t xml:space="preserve">LUZ VEGA PACHECO </t>
  </si>
  <si>
    <t xml:space="preserve">SONIA LACUTA QUISPE </t>
  </si>
  <si>
    <t>798558-5233891</t>
  </si>
  <si>
    <t>VICTOR MASIAS TERRAZAS</t>
  </si>
  <si>
    <t xml:space="preserve">ALEXANDER ALAN TACO LEON </t>
  </si>
  <si>
    <t>4164942-5658171</t>
  </si>
  <si>
    <t xml:space="preserve">CARLOS SAMANIEGO QUISPE </t>
  </si>
  <si>
    <t>11-12-13</t>
  </si>
  <si>
    <t>INGRIT SHERLY MACAHCAALVAREZ</t>
  </si>
  <si>
    <t>3979-3976</t>
  </si>
  <si>
    <t>605-593</t>
  </si>
  <si>
    <t>4062-4064</t>
  </si>
  <si>
    <t>4028</t>
  </si>
  <si>
    <t>4026</t>
  </si>
  <si>
    <t>644804-766020-156592</t>
  </si>
  <si>
    <t>5</t>
  </si>
  <si>
    <t>2391994</t>
  </si>
  <si>
    <t xml:space="preserve">MARLENI AVELAÑO JACINTO </t>
  </si>
  <si>
    <t>1504355-4003672</t>
  </si>
  <si>
    <t>844142-3998553</t>
  </si>
  <si>
    <t>30404349-305369</t>
  </si>
  <si>
    <t>21-14-05-98</t>
  </si>
  <si>
    <t xml:space="preserve">MODESTO RAUL FLORES QUISPE </t>
  </si>
  <si>
    <t>2-18</t>
  </si>
  <si>
    <t>1-2</t>
  </si>
  <si>
    <t>MERCEDES EDERY PINEDO</t>
  </si>
  <si>
    <t>1163755-129142</t>
  </si>
  <si>
    <t>RONALDO ZEA SALHUA</t>
  </si>
  <si>
    <t>4096-25044811</t>
  </si>
  <si>
    <t>JORDY CRISTHIAN AGUILAR TAMAYO</t>
  </si>
  <si>
    <t>BELTRAN QUISPE LUNA</t>
  </si>
  <si>
    <t>AURELIA LUNA YUCRA</t>
  </si>
  <si>
    <t>EDGAR ALEXANDER HUAYTA IRARICA</t>
  </si>
  <si>
    <t>17 Y 18</t>
  </si>
  <si>
    <t>722 - 719</t>
  </si>
  <si>
    <t>LOPEZ CANELOS YURI YERGALL</t>
  </si>
  <si>
    <t xml:space="preserve">EDWIN HUAMANI MENDOZA </t>
  </si>
  <si>
    <t xml:space="preserve">HUGO GERARDO MEDOZA VALDIVIA </t>
  </si>
  <si>
    <t xml:space="preserve">CASTRO CUADROS FREDY </t>
  </si>
  <si>
    <t xml:space="preserve">SAJAMI ALVARADO TONY </t>
  </si>
  <si>
    <t xml:space="preserve">CHINCHERCOMA TACURI EDITH </t>
  </si>
  <si>
    <t xml:space="preserve">SAMUEL SULCA SAIRE </t>
  </si>
  <si>
    <t>QUISPE ESCALANTE FLOR ALMENDRA</t>
  </si>
  <si>
    <t>ROSINDA QUISPE CONSENEZ</t>
  </si>
  <si>
    <t xml:space="preserve">ORQQUE JORDAN BISMARK </t>
  </si>
  <si>
    <t xml:space="preserve">SULEMA SOLEDAD APAZA MAMANI </t>
  </si>
  <si>
    <t xml:space="preserve">MARISOL QUISPE COILA </t>
  </si>
  <si>
    <t>TRAYSSY ZAUDIITH PALOMINO PAREDES</t>
  </si>
  <si>
    <t xml:space="preserve">VICTOR PALOMINO QUISPE </t>
  </si>
  <si>
    <t>LLANOS LUNA PAULA HONORATA</t>
  </si>
  <si>
    <t>1032664-3044991</t>
  </si>
  <si>
    <t xml:space="preserve">JUAN MANUEL  MAMANI ARAGON </t>
  </si>
  <si>
    <t>289572-289577</t>
  </si>
  <si>
    <t>219145-219150</t>
  </si>
  <si>
    <t xml:space="preserve">LUIS BELTRAN TACUSI MAQUERHUA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</si>
</sst>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&quot;S/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E599"/>
      </left>
      <right style="medium">
        <color rgb="FFFFE599"/>
      </right>
      <top style="medium">
        <color rgb="FFFFE599"/>
      </top>
      <bottom style="thick">
        <color rgb="FFFFD966"/>
      </bottom>
      <diagonal/>
    </border>
    <border>
      <left style="medium">
        <color rgb="FFFFE599"/>
      </left>
      <right style="medium">
        <color rgb="FFFFE599"/>
      </right>
      <top/>
      <bottom style="medium">
        <color rgb="FFFFE59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164" fontId="0" fillId="0" borderId="2" xfId="0" applyNumberFormat="1" applyBorder="1"/>
    <xf numFmtId="164" fontId="1" fillId="5" borderId="5" xfId="0" applyNumberFormat="1" applyFont="1" applyFill="1" applyBorder="1"/>
    <xf numFmtId="164" fontId="0" fillId="6" borderId="2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0" borderId="3" xfId="0" applyBorder="1" applyAlignment="1">
      <alignment horizontal="center"/>
    </xf>
    <xf numFmtId="164" fontId="1" fillId="7" borderId="5" xfId="0" applyNumberFormat="1" applyFont="1" applyFill="1" applyBorder="1"/>
    <xf numFmtId="164" fontId="2" fillId="8" borderId="1" xfId="0" applyNumberFormat="1" applyFont="1" applyFill="1" applyBorder="1"/>
    <xf numFmtId="164" fontId="0" fillId="8" borderId="0" xfId="0" applyNumberFormat="1" applyFill="1"/>
    <xf numFmtId="164" fontId="0" fillId="6" borderId="0" xfId="0" applyNumberFormat="1" applyFill="1"/>
    <xf numFmtId="0" fontId="0" fillId="0" borderId="2" xfId="0" applyBorder="1"/>
    <xf numFmtId="49" fontId="0" fillId="0" borderId="3" xfId="0" applyNumberFormat="1" applyBorder="1" applyAlignment="1">
      <alignment horizontal="center"/>
    </xf>
    <xf numFmtId="164" fontId="0" fillId="0" borderId="3" xfId="0" applyNumberFormat="1" applyBorder="1"/>
    <xf numFmtId="9" fontId="0" fillId="0" borderId="4" xfId="0" applyNumberFormat="1" applyBorder="1"/>
    <xf numFmtId="0" fontId="0" fillId="0" borderId="3" xfId="0" applyBorder="1"/>
    <xf numFmtId="164" fontId="0" fillId="7" borderId="5" xfId="0" applyNumberFormat="1" applyFill="1" applyBorder="1"/>
    <xf numFmtId="2" fontId="0" fillId="6" borderId="1" xfId="0" applyNumberFormat="1" applyFill="1" applyBorder="1"/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64" fontId="0" fillId="0" borderId="11" xfId="0" applyNumberFormat="1" applyBorder="1"/>
    <xf numFmtId="164" fontId="0" fillId="6" borderId="16" xfId="0" applyNumberFormat="1" applyFill="1" applyBorder="1"/>
    <xf numFmtId="4" fontId="0" fillId="0" borderId="0" xfId="0" applyNumberFormat="1"/>
    <xf numFmtId="4" fontId="3" fillId="0" borderId="17" xfId="0" applyNumberFormat="1" applyFont="1" applyBorder="1" applyAlignment="1">
      <alignment vertical="center" wrapText="1"/>
    </xf>
    <xf numFmtId="4" fontId="3" fillId="0" borderId="18" xfId="0" applyNumberFormat="1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9" fontId="0" fillId="0" borderId="0" xfId="0" applyNumberFormat="1"/>
    <xf numFmtId="164" fontId="1" fillId="7" borderId="1" xfId="0" applyNumberFormat="1" applyFont="1" applyFill="1" applyBorder="1"/>
    <xf numFmtId="0" fontId="0" fillId="0" borderId="21" xfId="0" applyBorder="1"/>
    <xf numFmtId="0" fontId="0" fillId="0" borderId="21" xfId="0" applyBorder="1" applyAlignment="1">
      <alignment horizontal="center"/>
    </xf>
    <xf numFmtId="164" fontId="0" fillId="0" borderId="21" xfId="0" applyNumberFormat="1" applyBorder="1"/>
    <xf numFmtId="9" fontId="0" fillId="0" borderId="22" xfId="0" applyNumberFormat="1" applyBorder="1"/>
    <xf numFmtId="164" fontId="0" fillId="0" borderId="23" xfId="0" applyNumberFormat="1" applyBorder="1"/>
    <xf numFmtId="49" fontId="0" fillId="0" borderId="21" xfId="0" applyNumberFormat="1" applyBorder="1" applyAlignment="1">
      <alignment horizontal="center"/>
    </xf>
    <xf numFmtId="0" fontId="0" fillId="3" borderId="1" xfId="0" applyFill="1" applyBorder="1"/>
    <xf numFmtId="0" fontId="0" fillId="0" borderId="24" xfId="0" applyBorder="1"/>
    <xf numFmtId="0" fontId="0" fillId="0" borderId="24" xfId="0" applyBorder="1" applyAlignment="1">
      <alignment horizontal="center"/>
    </xf>
    <xf numFmtId="164" fontId="0" fillId="0" borderId="24" xfId="0" applyNumberFormat="1" applyBorder="1"/>
    <xf numFmtId="9" fontId="0" fillId="0" borderId="25" xfId="0" applyNumberFormat="1" applyBorder="1"/>
    <xf numFmtId="164" fontId="0" fillId="6" borderId="26" xfId="0" applyNumberFormat="1" applyFill="1" applyBorder="1"/>
    <xf numFmtId="49" fontId="0" fillId="0" borderId="2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44" fontId="5" fillId="0" borderId="1" xfId="0" applyNumberFormat="1" applyFont="1" applyBorder="1"/>
    <xf numFmtId="9" fontId="5" fillId="0" borderId="1" xfId="0" applyNumberFormat="1" applyFont="1" applyBorder="1" applyAlignment="1">
      <alignment horizontal="center"/>
    </xf>
    <xf numFmtId="164" fontId="1" fillId="11" borderId="0" xfId="0" applyNumberFormat="1" applyFont="1" applyFill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64" fontId="0" fillId="12" borderId="1" xfId="0" applyNumberFormat="1" applyFill="1" applyBorder="1"/>
    <xf numFmtId="9" fontId="0" fillId="12" borderId="1" xfId="0" applyNumberFormat="1" applyFill="1" applyBorder="1"/>
    <xf numFmtId="0" fontId="0" fillId="12" borderId="0" xfId="0" applyFill="1"/>
    <xf numFmtId="164" fontId="1" fillId="10" borderId="5" xfId="0" applyNumberFormat="1" applyFont="1" applyFill="1" applyBorder="1"/>
    <xf numFmtId="0" fontId="0" fillId="10" borderId="1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164" fontId="1" fillId="2" borderId="5" xfId="0" applyNumberFormat="1" applyFont="1" applyFill="1" applyBorder="1"/>
    <xf numFmtId="0" fontId="0" fillId="11" borderId="0" xfId="0" applyFill="1"/>
    <xf numFmtId="0" fontId="4" fillId="11" borderId="1" xfId="0" applyFont="1" applyFill="1" applyBorder="1" applyAlignment="1">
      <alignment horizontal="center"/>
    </xf>
    <xf numFmtId="0" fontId="5" fillId="11" borderId="1" xfId="0" quotePrefix="1" applyFont="1" applyFill="1" applyBorder="1" applyAlignment="1">
      <alignment horizontal="center"/>
    </xf>
    <xf numFmtId="44" fontId="5" fillId="11" borderId="1" xfId="0" applyNumberFormat="1" applyFont="1" applyFill="1" applyBorder="1"/>
    <xf numFmtId="9" fontId="5" fillId="11" borderId="1" xfId="0" applyNumberFormat="1" applyFont="1" applyFill="1" applyBorder="1" applyAlignment="1">
      <alignment horizontal="center"/>
    </xf>
    <xf numFmtId="164" fontId="1" fillId="7" borderId="0" xfId="0" applyNumberFormat="1" applyFont="1" applyFill="1"/>
    <xf numFmtId="0" fontId="0" fillId="0" borderId="2" xfId="0" applyBorder="1" applyAlignment="1">
      <alignment horizontal="center"/>
    </xf>
    <xf numFmtId="0" fontId="0" fillId="3" borderId="2" xfId="0" applyFill="1" applyBorder="1"/>
    <xf numFmtId="164" fontId="0" fillId="0" borderId="27" xfId="0" applyNumberFormat="1" applyBorder="1"/>
    <xf numFmtId="164" fontId="1" fillId="6" borderId="5" xfId="0" applyNumberFormat="1" applyFont="1" applyFill="1" applyBorder="1"/>
    <xf numFmtId="164" fontId="0" fillId="6" borderId="5" xfId="0" applyNumberFormat="1" applyFill="1" applyBorder="1"/>
    <xf numFmtId="164" fontId="0" fillId="6" borderId="3" xfId="0" applyNumberFormat="1" applyFill="1" applyBorder="1"/>
    <xf numFmtId="0" fontId="0" fillId="3" borderId="28" xfId="0" applyFill="1" applyBorder="1"/>
    <xf numFmtId="164" fontId="1" fillId="0" borderId="0" xfId="0" applyNumberFormat="1" applyFont="1"/>
    <xf numFmtId="0" fontId="0" fillId="13" borderId="1" xfId="0" applyFill="1" applyBorder="1"/>
    <xf numFmtId="0" fontId="0" fillId="13" borderId="20" xfId="0" applyFill="1" applyBorder="1"/>
    <xf numFmtId="0" fontId="0" fillId="13" borderId="10" xfId="0" applyFill="1" applyBorder="1"/>
    <xf numFmtId="0" fontId="0" fillId="13" borderId="12" xfId="0" applyFill="1" applyBorder="1"/>
    <xf numFmtId="164" fontId="0" fillId="8" borderId="5" xfId="0" applyNumberFormat="1" applyFill="1" applyBorder="1"/>
    <xf numFmtId="0" fontId="0" fillId="14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3" borderId="2" xfId="0" applyFill="1" applyBorder="1"/>
    <xf numFmtId="0" fontId="7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5" fillId="12" borderId="1" xfId="0" quotePrefix="1" applyFont="1" applyFill="1" applyBorder="1" applyAlignment="1">
      <alignment horizontal="center"/>
    </xf>
    <xf numFmtId="44" fontId="5" fillId="12" borderId="1" xfId="0" applyNumberFormat="1" applyFont="1" applyFill="1" applyBorder="1"/>
    <xf numFmtId="9" fontId="5" fillId="12" borderId="1" xfId="0" applyNumberFormat="1" applyFont="1" applyFill="1" applyBorder="1" applyAlignment="1">
      <alignment horizontal="center"/>
    </xf>
    <xf numFmtId="44" fontId="0" fillId="0" borderId="0" xfId="0" applyNumberFormat="1"/>
    <xf numFmtId="44" fontId="0" fillId="12" borderId="0" xfId="0" applyNumberFormat="1" applyFill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44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quotePrefix="1" applyFill="1" applyBorder="1" applyAlignment="1">
      <alignment horizontal="center"/>
    </xf>
    <xf numFmtId="44" fontId="0" fillId="12" borderId="1" xfId="0" applyNumberFormat="1" applyFill="1" applyBorder="1"/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wrapText="1"/>
    </xf>
    <xf numFmtId="44" fontId="0" fillId="12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0" borderId="3" xfId="0" quotePrefix="1" applyBorder="1" applyAlignment="1">
      <alignment horizontal="center"/>
    </xf>
    <xf numFmtId="44" fontId="0" fillId="0" borderId="3" xfId="0" applyNumberFormat="1" applyBorder="1"/>
    <xf numFmtId="9" fontId="0" fillId="0" borderId="3" xfId="0" applyNumberFormat="1" applyBorder="1" applyAlignment="1">
      <alignment horizontal="center"/>
    </xf>
    <xf numFmtId="44" fontId="0" fillId="0" borderId="4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52"/>
  <sheetViews>
    <sheetView topLeftCell="A32" zoomScale="91" zoomScaleNormal="91" workbookViewId="0">
      <selection activeCell="B48" sqref="B48"/>
    </sheetView>
  </sheetViews>
  <sheetFormatPr baseColWidth="10" defaultRowHeight="15" x14ac:dyDescent="0.25"/>
  <cols>
    <col min="1" max="1" width="5.28515625" customWidth="1"/>
    <col min="2" max="2" width="37.8554687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2" spans="2:10" ht="15.75" thickBot="1" x14ac:dyDescent="0.3"/>
    <row r="3" spans="2:10" x14ac:dyDescent="0.25">
      <c r="B3" s="121" t="s">
        <v>0</v>
      </c>
      <c r="C3" s="122"/>
      <c r="D3" s="122"/>
      <c r="E3" s="122"/>
      <c r="F3" s="122"/>
      <c r="G3" s="122"/>
      <c r="H3" s="122"/>
      <c r="I3" s="123"/>
    </row>
    <row r="4" spans="2:10" x14ac:dyDescent="0.25">
      <c r="B4" s="119" t="s">
        <v>14</v>
      </c>
      <c r="C4" s="118"/>
      <c r="D4" s="118"/>
      <c r="E4" s="118"/>
      <c r="F4" s="118"/>
      <c r="G4" s="118"/>
      <c r="H4" s="118"/>
      <c r="I4" s="120"/>
    </row>
    <row r="5" spans="2:10" ht="67.5" customHeight="1" x14ac:dyDescent="0.25">
      <c r="B5" s="24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25" t="s">
        <v>7</v>
      </c>
    </row>
    <row r="6" spans="2:10" x14ac:dyDescent="0.25">
      <c r="B6" s="82" t="s">
        <v>76</v>
      </c>
      <c r="C6" s="2" t="s">
        <v>16</v>
      </c>
      <c r="D6" s="6" t="s">
        <v>77</v>
      </c>
      <c r="E6" s="4">
        <v>10</v>
      </c>
      <c r="F6" s="4">
        <v>3802</v>
      </c>
      <c r="G6" s="5">
        <v>1906</v>
      </c>
      <c r="H6" s="3">
        <v>0.03</v>
      </c>
      <c r="I6" s="26">
        <f t="shared" ref="I6:I7" si="0">G6*H6</f>
        <v>57.18</v>
      </c>
    </row>
    <row r="7" spans="2:10" x14ac:dyDescent="0.25">
      <c r="B7" s="82" t="s">
        <v>95</v>
      </c>
      <c r="C7" s="2" t="s">
        <v>19</v>
      </c>
      <c r="D7" s="4">
        <v>32</v>
      </c>
      <c r="E7" s="4">
        <v>8</v>
      </c>
      <c r="F7" s="4">
        <v>4101</v>
      </c>
      <c r="G7" s="5">
        <v>1000</v>
      </c>
      <c r="H7" s="3">
        <v>0.03</v>
      </c>
      <c r="I7" s="26">
        <f t="shared" si="0"/>
        <v>30</v>
      </c>
    </row>
    <row r="8" spans="2:10" x14ac:dyDescent="0.25">
      <c r="B8" s="83" t="s">
        <v>128</v>
      </c>
      <c r="C8" s="21" t="s">
        <v>18</v>
      </c>
      <c r="D8" s="12">
        <v>2</v>
      </c>
      <c r="E8" s="12">
        <v>10</v>
      </c>
      <c r="F8" s="12">
        <v>339609</v>
      </c>
      <c r="G8" s="19">
        <v>500</v>
      </c>
      <c r="H8" s="20">
        <v>0.03</v>
      </c>
      <c r="I8" s="26">
        <f t="shared" ref="I8" si="1">G8*H8</f>
        <v>15</v>
      </c>
    </row>
    <row r="9" spans="2:10" x14ac:dyDescent="0.25">
      <c r="B9" s="83" t="s">
        <v>128</v>
      </c>
      <c r="C9" s="21" t="s">
        <v>18</v>
      </c>
      <c r="D9" s="12">
        <v>2</v>
      </c>
      <c r="E9" s="12">
        <v>10</v>
      </c>
      <c r="F9" s="12">
        <v>341059</v>
      </c>
      <c r="G9" s="19">
        <v>439</v>
      </c>
      <c r="H9" s="20">
        <v>0.03</v>
      </c>
      <c r="I9" s="26">
        <f t="shared" ref="I9" si="2">G9*H9</f>
        <v>13.17</v>
      </c>
    </row>
    <row r="10" spans="2:10" x14ac:dyDescent="0.25">
      <c r="B10" s="81" t="s">
        <v>131</v>
      </c>
      <c r="C10" s="36" t="s">
        <v>20</v>
      </c>
      <c r="D10" s="37">
        <v>11</v>
      </c>
      <c r="E10" s="37">
        <v>8</v>
      </c>
      <c r="F10" s="37">
        <v>79</v>
      </c>
      <c r="G10" s="38">
        <v>1155.5</v>
      </c>
      <c r="H10" s="39">
        <v>0.03</v>
      </c>
      <c r="I10" s="40">
        <f t="shared" ref="I10:I11" si="3">G10*H10</f>
        <v>34.664999999999999</v>
      </c>
    </row>
    <row r="11" spans="2:10" x14ac:dyDescent="0.25">
      <c r="B11" s="81" t="s">
        <v>218</v>
      </c>
      <c r="C11" s="36" t="s">
        <v>17</v>
      </c>
      <c r="D11" s="41" t="s">
        <v>219</v>
      </c>
      <c r="E11" s="37">
        <v>16</v>
      </c>
      <c r="F11" s="37">
        <v>3404673</v>
      </c>
      <c r="G11" s="38">
        <v>1749</v>
      </c>
      <c r="H11" s="39">
        <v>0.03</v>
      </c>
      <c r="I11" s="40">
        <f t="shared" si="3"/>
        <v>52.47</v>
      </c>
    </row>
    <row r="12" spans="2:10" ht="15.75" thickBot="1" x14ac:dyDescent="0.3">
      <c r="B12" s="124" t="s">
        <v>9</v>
      </c>
      <c r="C12" s="125"/>
      <c r="D12" s="125"/>
      <c r="E12" s="125"/>
      <c r="F12" s="125"/>
      <c r="G12" s="125"/>
      <c r="H12" s="126"/>
      <c r="I12" s="27">
        <f>SUM(I6:I11)</f>
        <v>202.48500000000001</v>
      </c>
      <c r="J12">
        <v>33.07</v>
      </c>
    </row>
    <row r="14" spans="2:10" ht="15.75" thickBot="1" x14ac:dyDescent="0.3"/>
    <row r="15" spans="2:10" x14ac:dyDescent="0.25">
      <c r="B15" s="121" t="s">
        <v>0</v>
      </c>
      <c r="C15" s="122"/>
      <c r="D15" s="122"/>
      <c r="E15" s="122"/>
      <c r="F15" s="122"/>
      <c r="G15" s="122"/>
      <c r="H15" s="122"/>
      <c r="I15" s="123"/>
    </row>
    <row r="16" spans="2:10" x14ac:dyDescent="0.25">
      <c r="B16" s="119" t="s">
        <v>129</v>
      </c>
      <c r="C16" s="118"/>
      <c r="D16" s="118"/>
      <c r="E16" s="118"/>
      <c r="F16" s="118"/>
      <c r="G16" s="118"/>
      <c r="H16" s="118"/>
      <c r="I16" s="120"/>
    </row>
    <row r="17" spans="2:10" ht="60" x14ac:dyDescent="0.25">
      <c r="B17" s="24" t="s">
        <v>1</v>
      </c>
      <c r="C17" s="1" t="s">
        <v>3</v>
      </c>
      <c r="D17" s="1" t="s">
        <v>2</v>
      </c>
      <c r="E17" s="1" t="s">
        <v>8</v>
      </c>
      <c r="F17" s="1" t="s">
        <v>12</v>
      </c>
      <c r="G17" s="1" t="s">
        <v>5</v>
      </c>
      <c r="H17" s="1" t="s">
        <v>6</v>
      </c>
      <c r="I17" s="25" t="s">
        <v>7</v>
      </c>
    </row>
    <row r="18" spans="2:10" x14ac:dyDescent="0.25">
      <c r="B18" s="82" t="s">
        <v>130</v>
      </c>
      <c r="C18" s="2" t="s">
        <v>4</v>
      </c>
      <c r="D18" s="6" t="s">
        <v>82</v>
      </c>
      <c r="E18" s="4">
        <v>2</v>
      </c>
      <c r="F18" s="4">
        <v>1125396</v>
      </c>
      <c r="G18" s="5">
        <v>4507.7</v>
      </c>
      <c r="H18" s="3">
        <v>0.05</v>
      </c>
      <c r="I18" s="26">
        <f t="shared" ref="I18" si="4">G18*H18</f>
        <v>225.38499999999999</v>
      </c>
    </row>
    <row r="19" spans="2:10" x14ac:dyDescent="0.25">
      <c r="B19" s="81" t="s">
        <v>132</v>
      </c>
      <c r="C19" s="36" t="s">
        <v>4</v>
      </c>
      <c r="D19" s="41" t="s">
        <v>77</v>
      </c>
      <c r="E19" s="37">
        <v>2</v>
      </c>
      <c r="F19" s="37">
        <v>4079</v>
      </c>
      <c r="G19" s="38">
        <v>1792</v>
      </c>
      <c r="H19" s="39">
        <v>0.05</v>
      </c>
      <c r="I19" s="26">
        <f t="shared" ref="I19" si="5">G19*H19</f>
        <v>89.600000000000009</v>
      </c>
    </row>
    <row r="20" spans="2:10" ht="15.75" thickBot="1" x14ac:dyDescent="0.3">
      <c r="B20" s="124" t="s">
        <v>9</v>
      </c>
      <c r="C20" s="125"/>
      <c r="D20" s="125"/>
      <c r="E20" s="125"/>
      <c r="F20" s="125"/>
      <c r="G20" s="125"/>
      <c r="H20" s="126"/>
      <c r="I20" s="27">
        <f>SUM(I18:I19)</f>
        <v>314.98500000000001</v>
      </c>
    </row>
    <row r="22" spans="2:10" x14ac:dyDescent="0.25">
      <c r="B22" s="117" t="s">
        <v>0</v>
      </c>
      <c r="C22" s="117"/>
      <c r="D22" s="117"/>
      <c r="E22" s="117"/>
      <c r="F22" s="117"/>
      <c r="G22" s="117"/>
      <c r="H22" s="117"/>
      <c r="I22" s="117"/>
    </row>
    <row r="23" spans="2:10" x14ac:dyDescent="0.25">
      <c r="B23" s="118" t="s">
        <v>78</v>
      </c>
      <c r="C23" s="118"/>
      <c r="D23" s="118"/>
      <c r="E23" s="118"/>
      <c r="F23" s="118"/>
      <c r="G23" s="118"/>
      <c r="H23" s="118"/>
      <c r="I23" s="118"/>
    </row>
    <row r="24" spans="2:10" ht="60" x14ac:dyDescent="0.25">
      <c r="B24" s="1" t="s">
        <v>1</v>
      </c>
      <c r="C24" s="1" t="s">
        <v>3</v>
      </c>
      <c r="D24" s="1" t="s">
        <v>2</v>
      </c>
      <c r="E24" s="1" t="s">
        <v>8</v>
      </c>
      <c r="F24" s="1" t="s">
        <v>12</v>
      </c>
      <c r="G24" s="1" t="s">
        <v>5</v>
      </c>
      <c r="H24" s="1" t="s">
        <v>6</v>
      </c>
      <c r="I24" s="1" t="s">
        <v>7</v>
      </c>
    </row>
    <row r="25" spans="2:10" ht="15.75" thickBot="1" x14ac:dyDescent="0.3">
      <c r="B25" s="2"/>
      <c r="C25" s="2"/>
      <c r="D25" s="4"/>
      <c r="E25" s="4"/>
      <c r="F25" s="4"/>
      <c r="G25" s="5"/>
      <c r="H25" s="3">
        <v>0.03</v>
      </c>
      <c r="I25" s="5">
        <f t="shared" ref="I25" si="6">G25*H25</f>
        <v>0</v>
      </c>
    </row>
    <row r="26" spans="2:10" ht="15.75" thickBot="1" x14ac:dyDescent="0.3">
      <c r="D26" s="32"/>
      <c r="E26" s="32"/>
      <c r="F26" s="32"/>
      <c r="G26" s="33"/>
      <c r="H26" s="34"/>
      <c r="I26" s="16">
        <f>SUM(I25:I25)</f>
        <v>0</v>
      </c>
      <c r="J26" s="84">
        <f>I12+I20+I26-J12</f>
        <v>484.40000000000003</v>
      </c>
    </row>
    <row r="27" spans="2:10" ht="15.75" thickBot="1" x14ac:dyDescent="0.3">
      <c r="D27" s="32"/>
      <c r="E27" s="32"/>
      <c r="F27" s="32"/>
      <c r="G27" s="33"/>
      <c r="H27" s="34"/>
      <c r="I27" s="33"/>
      <c r="J27" s="13"/>
    </row>
    <row r="30" spans="2:10" x14ac:dyDescent="0.25">
      <c r="B30" s="117" t="s">
        <v>0</v>
      </c>
      <c r="C30" s="117"/>
      <c r="D30" s="117"/>
      <c r="E30" s="117"/>
      <c r="F30" s="117"/>
      <c r="G30" s="117"/>
      <c r="H30" s="117"/>
      <c r="I30" s="117"/>
    </row>
    <row r="31" spans="2:10" x14ac:dyDescent="0.25">
      <c r="B31" s="118" t="s">
        <v>10</v>
      </c>
      <c r="C31" s="118"/>
      <c r="D31" s="118"/>
      <c r="E31" s="118"/>
      <c r="F31" s="118"/>
      <c r="G31" s="118"/>
      <c r="H31" s="118"/>
      <c r="I31" s="118"/>
    </row>
    <row r="32" spans="2:10" ht="60" x14ac:dyDescent="0.25">
      <c r="B32" s="1" t="s">
        <v>1</v>
      </c>
      <c r="C32" s="1" t="s">
        <v>3</v>
      </c>
      <c r="D32" s="1" t="s">
        <v>2</v>
      </c>
      <c r="E32" s="1" t="s">
        <v>8</v>
      </c>
      <c r="F32" s="1" t="s">
        <v>12</v>
      </c>
      <c r="G32" s="1" t="s">
        <v>5</v>
      </c>
      <c r="H32" s="1" t="s">
        <v>6</v>
      </c>
      <c r="I32" s="1" t="s">
        <v>7</v>
      </c>
    </row>
    <row r="33" spans="2:9" x14ac:dyDescent="0.25">
      <c r="B33" s="2"/>
      <c r="C33" s="4"/>
      <c r="D33" s="4"/>
      <c r="E33" s="4"/>
      <c r="F33" s="4"/>
      <c r="G33" s="5"/>
      <c r="H33" s="3"/>
      <c r="I33" s="5">
        <f t="shared" ref="I33" si="7">G33*H33</f>
        <v>0</v>
      </c>
    </row>
    <row r="34" spans="2:9" x14ac:dyDescent="0.25">
      <c r="B34" s="2"/>
      <c r="C34" s="4"/>
      <c r="D34" s="4"/>
      <c r="E34" s="4"/>
      <c r="F34" s="4"/>
      <c r="G34" s="5"/>
      <c r="H34" s="3"/>
      <c r="I34" s="5">
        <f t="shared" ref="I34" si="8">G34*H34</f>
        <v>0</v>
      </c>
    </row>
    <row r="35" spans="2:9" x14ac:dyDescent="0.25">
      <c r="B35" s="114" t="s">
        <v>9</v>
      </c>
      <c r="C35" s="115"/>
      <c r="D35" s="115"/>
      <c r="E35" s="115"/>
      <c r="F35" s="115"/>
      <c r="G35" s="115"/>
      <c r="H35" s="116"/>
      <c r="I35" s="11">
        <f>SUM(I33:I34)</f>
        <v>0</v>
      </c>
    </row>
    <row r="38" spans="2:9" x14ac:dyDescent="0.25">
      <c r="B38" s="117" t="s">
        <v>0</v>
      </c>
      <c r="C38" s="117"/>
      <c r="D38" s="117"/>
      <c r="E38" s="117"/>
      <c r="F38" s="117"/>
      <c r="G38" s="117"/>
      <c r="H38" s="117"/>
      <c r="I38" s="117"/>
    </row>
    <row r="39" spans="2:9" x14ac:dyDescent="0.25">
      <c r="B39" s="118" t="s">
        <v>11</v>
      </c>
      <c r="C39" s="118"/>
      <c r="D39" s="118"/>
      <c r="E39" s="118"/>
      <c r="F39" s="118"/>
      <c r="G39" s="118"/>
      <c r="H39" s="118"/>
      <c r="I39" s="118"/>
    </row>
    <row r="40" spans="2:9" ht="60" x14ac:dyDescent="0.25">
      <c r="B40" s="1" t="s">
        <v>1</v>
      </c>
      <c r="C40" s="1" t="s">
        <v>3</v>
      </c>
      <c r="D40" s="1" t="s">
        <v>2</v>
      </c>
      <c r="E40" s="1" t="s">
        <v>8</v>
      </c>
      <c r="F40" s="1" t="s">
        <v>12</v>
      </c>
      <c r="G40" s="1" t="s">
        <v>5</v>
      </c>
      <c r="H40" s="1" t="s">
        <v>6</v>
      </c>
      <c r="I40" s="1" t="s">
        <v>7</v>
      </c>
    </row>
    <row r="41" spans="2:9" x14ac:dyDescent="0.25">
      <c r="B41" s="2"/>
      <c r="C41" s="4"/>
      <c r="D41" s="4"/>
      <c r="E41" s="4"/>
      <c r="F41" s="4"/>
      <c r="G41" s="5">
        <v>0</v>
      </c>
      <c r="H41" s="3">
        <v>0.03</v>
      </c>
      <c r="I41" s="5">
        <f t="shared" ref="I41:I43" si="9">G41*H41</f>
        <v>0</v>
      </c>
    </row>
    <row r="42" spans="2:9" x14ac:dyDescent="0.25">
      <c r="B42" s="2"/>
      <c r="C42" s="4"/>
      <c r="D42" s="4"/>
      <c r="E42" s="4"/>
      <c r="F42" s="4"/>
      <c r="G42" s="5">
        <v>0</v>
      </c>
      <c r="H42" s="3">
        <v>0.02</v>
      </c>
      <c r="I42" s="5">
        <f t="shared" si="9"/>
        <v>0</v>
      </c>
    </row>
    <row r="43" spans="2:9" x14ac:dyDescent="0.25">
      <c r="B43" s="2"/>
      <c r="C43" s="4"/>
      <c r="D43" s="4"/>
      <c r="E43" s="4"/>
      <c r="F43" s="4"/>
      <c r="G43" s="5">
        <v>0</v>
      </c>
      <c r="H43" s="3">
        <v>0.02</v>
      </c>
      <c r="I43" s="5">
        <f t="shared" si="9"/>
        <v>0</v>
      </c>
    </row>
    <row r="44" spans="2:9" x14ac:dyDescent="0.25">
      <c r="B44" s="114" t="s">
        <v>9</v>
      </c>
      <c r="C44" s="115"/>
      <c r="D44" s="115"/>
      <c r="E44" s="115"/>
      <c r="F44" s="115"/>
      <c r="G44" s="115"/>
      <c r="H44" s="116"/>
      <c r="I44" s="10">
        <f>SUM(I41:I43)</f>
        <v>0</v>
      </c>
    </row>
    <row r="46" spans="2:9" x14ac:dyDescent="0.25">
      <c r="B46" s="117" t="s">
        <v>183</v>
      </c>
      <c r="C46" s="117"/>
      <c r="D46" s="117"/>
      <c r="E46" s="117"/>
      <c r="F46" s="117"/>
      <c r="G46" s="117"/>
      <c r="H46" s="117"/>
      <c r="I46" s="117"/>
    </row>
    <row r="47" spans="2:9" x14ac:dyDescent="0.25">
      <c r="B47" s="118" t="s">
        <v>13</v>
      </c>
      <c r="C47" s="118"/>
      <c r="D47" s="118"/>
      <c r="E47" s="118"/>
      <c r="F47" s="118"/>
      <c r="G47" s="118"/>
      <c r="H47" s="118"/>
      <c r="I47" s="118"/>
    </row>
    <row r="48" spans="2:9" ht="60" x14ac:dyDescent="0.25">
      <c r="B48" s="1" t="s">
        <v>1</v>
      </c>
      <c r="C48" s="1" t="s">
        <v>3</v>
      </c>
      <c r="D48" s="1" t="s">
        <v>2</v>
      </c>
      <c r="E48" s="1" t="s">
        <v>8</v>
      </c>
      <c r="F48" s="1" t="s">
        <v>12</v>
      </c>
      <c r="G48" s="1" t="s">
        <v>5</v>
      </c>
      <c r="H48" s="1" t="s">
        <v>6</v>
      </c>
      <c r="I48" s="1" t="s">
        <v>7</v>
      </c>
    </row>
    <row r="49" spans="2:10" x14ac:dyDescent="0.25">
      <c r="B49" s="2" t="s">
        <v>23</v>
      </c>
      <c r="C49" s="4" t="s">
        <v>22</v>
      </c>
      <c r="D49" s="4">
        <v>12</v>
      </c>
      <c r="E49" s="4">
        <v>19</v>
      </c>
      <c r="F49" s="4">
        <v>4501783</v>
      </c>
      <c r="G49" s="5">
        <v>1150</v>
      </c>
      <c r="H49" s="3">
        <v>0.03</v>
      </c>
      <c r="I49" s="5">
        <f t="shared" ref="I49:I50" si="10">G49*H49</f>
        <v>34.5</v>
      </c>
    </row>
    <row r="50" spans="2:10" x14ac:dyDescent="0.25">
      <c r="B50" s="2" t="s">
        <v>256</v>
      </c>
      <c r="C50" s="4" t="s">
        <v>22</v>
      </c>
      <c r="D50" s="4">
        <v>5</v>
      </c>
      <c r="E50" s="4">
        <v>6</v>
      </c>
      <c r="F50" s="4">
        <v>451525</v>
      </c>
      <c r="G50" s="5">
        <v>1345</v>
      </c>
      <c r="H50" s="3">
        <v>0.03</v>
      </c>
      <c r="I50" s="5">
        <f t="shared" si="10"/>
        <v>40.35</v>
      </c>
    </row>
    <row r="51" spans="2:10" ht="15.75" thickBot="1" x14ac:dyDescent="0.3">
      <c r="B51" s="2" t="s">
        <v>256</v>
      </c>
      <c r="C51" s="4" t="s">
        <v>22</v>
      </c>
      <c r="D51" s="4">
        <v>5</v>
      </c>
      <c r="E51" s="4">
        <v>7</v>
      </c>
      <c r="F51" s="4">
        <v>451698</v>
      </c>
      <c r="G51" s="5">
        <v>1345</v>
      </c>
      <c r="H51" s="3">
        <v>0.03</v>
      </c>
      <c r="I51" s="5">
        <f t="shared" ref="I51" si="11">G51*H51</f>
        <v>40.35</v>
      </c>
    </row>
    <row r="52" spans="2:10" ht="15.75" thickBot="1" x14ac:dyDescent="0.3">
      <c r="B52" s="114" t="s">
        <v>9</v>
      </c>
      <c r="C52" s="115"/>
      <c r="D52" s="115"/>
      <c r="E52" s="115"/>
      <c r="F52" s="115"/>
      <c r="G52" s="115"/>
      <c r="H52" s="116"/>
      <c r="I52" s="9">
        <f>SUM(I49:I51)</f>
        <v>115.19999999999999</v>
      </c>
      <c r="J52" s="22">
        <f>SUM(I52+I44+I35)</f>
        <v>115.19999999999999</v>
      </c>
    </row>
  </sheetData>
  <mergeCells count="17">
    <mergeCell ref="B4:I4"/>
    <mergeCell ref="B3:I3"/>
    <mergeCell ref="B12:H12"/>
    <mergeCell ref="B44:H44"/>
    <mergeCell ref="B46:I46"/>
    <mergeCell ref="B22:I22"/>
    <mergeCell ref="B23:I23"/>
    <mergeCell ref="B15:I15"/>
    <mergeCell ref="B16:I16"/>
    <mergeCell ref="B20:H20"/>
    <mergeCell ref="B47:I47"/>
    <mergeCell ref="B52:H52"/>
    <mergeCell ref="B30:I30"/>
    <mergeCell ref="B31:I31"/>
    <mergeCell ref="B35:H35"/>
    <mergeCell ref="B38:I38"/>
    <mergeCell ref="B39:I39"/>
  </mergeCells>
  <pageMargins left="1" right="1" top="1" bottom="1" header="0.5" footer="0.5"/>
  <pageSetup paperSize="9" scale="57" fitToHeight="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337F-2FBA-4DE3-82F1-DE613B550E5E}">
  <sheetPr>
    <pageSetUpPr fitToPage="1"/>
  </sheetPr>
  <dimension ref="B3:M154"/>
  <sheetViews>
    <sheetView topLeftCell="A124" workbookViewId="0">
      <selection activeCell="A124" sqref="A1:XFD1048576"/>
    </sheetView>
  </sheetViews>
  <sheetFormatPr baseColWidth="10" defaultRowHeight="15" x14ac:dyDescent="0.25"/>
  <cols>
    <col min="1" max="1" width="5.28515625" customWidth="1"/>
    <col min="2" max="2" width="35.85546875" customWidth="1"/>
    <col min="3" max="3" width="5.7109375" customWidth="1"/>
    <col min="4" max="4" width="7.140625" customWidth="1"/>
    <col min="5" max="5" width="14" customWidth="1"/>
    <col min="6" max="6" width="22.85546875" customWidth="1"/>
    <col min="7" max="7" width="13.7109375" customWidth="1"/>
    <col min="8" max="8" width="13.28515625" customWidth="1"/>
    <col min="9" max="9" width="16" customWidth="1"/>
    <col min="10" max="10" width="12.7109375" customWidth="1"/>
  </cols>
  <sheetData>
    <row r="3" spans="2:9" x14ac:dyDescent="0.25">
      <c r="B3" s="130" t="s">
        <v>0</v>
      </c>
      <c r="C3" s="130"/>
      <c r="D3" s="130"/>
      <c r="E3" s="130"/>
      <c r="F3" s="130"/>
      <c r="G3" s="130"/>
      <c r="H3" s="130"/>
      <c r="I3" s="130"/>
    </row>
    <row r="4" spans="2:9" x14ac:dyDescent="0.25">
      <c r="B4" s="131" t="s">
        <v>14</v>
      </c>
      <c r="C4" s="131"/>
      <c r="D4" s="131"/>
      <c r="E4" s="131"/>
      <c r="F4" s="131"/>
      <c r="G4" s="131"/>
      <c r="H4" s="131"/>
      <c r="I4" s="131"/>
    </row>
    <row r="5" spans="2:9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9" x14ac:dyDescent="0.25">
      <c r="B6" s="80" t="s">
        <v>104</v>
      </c>
      <c r="C6" s="2" t="s">
        <v>19</v>
      </c>
      <c r="D6" s="4">
        <v>15</v>
      </c>
      <c r="E6" s="6" t="s">
        <v>115</v>
      </c>
      <c r="F6" s="4" t="s">
        <v>276</v>
      </c>
      <c r="G6" s="5">
        <v>1500</v>
      </c>
      <c r="H6" s="3">
        <v>0.05</v>
      </c>
      <c r="I6" s="5">
        <f t="shared" ref="I6" si="0">G6*H6</f>
        <v>75</v>
      </c>
    </row>
    <row r="7" spans="2:9" x14ac:dyDescent="0.25">
      <c r="B7" s="80" t="s">
        <v>106</v>
      </c>
      <c r="C7" s="2" t="s">
        <v>4</v>
      </c>
      <c r="D7" s="4">
        <v>1</v>
      </c>
      <c r="E7" s="6" t="s">
        <v>274</v>
      </c>
      <c r="F7" s="4">
        <v>3939</v>
      </c>
      <c r="G7" s="5">
        <v>2897.7</v>
      </c>
      <c r="H7" s="3">
        <v>0.05</v>
      </c>
      <c r="I7" s="5">
        <f t="shared" ref="I7:I10" si="1">G7*H7</f>
        <v>144.88499999999999</v>
      </c>
    </row>
    <row r="8" spans="2:9" x14ac:dyDescent="0.25">
      <c r="B8" s="80" t="s">
        <v>109</v>
      </c>
      <c r="C8" s="2" t="s">
        <v>19</v>
      </c>
      <c r="D8" s="4">
        <v>31</v>
      </c>
      <c r="E8" s="4">
        <v>6</v>
      </c>
      <c r="F8" s="4">
        <v>3931</v>
      </c>
      <c r="G8" s="5">
        <v>969.6</v>
      </c>
      <c r="H8" s="3">
        <v>0.05</v>
      </c>
      <c r="I8" s="5">
        <f t="shared" si="1"/>
        <v>48.480000000000004</v>
      </c>
    </row>
    <row r="9" spans="2:9" x14ac:dyDescent="0.25">
      <c r="B9" s="80" t="s">
        <v>110</v>
      </c>
      <c r="C9" s="2" t="s">
        <v>19</v>
      </c>
      <c r="D9" s="4">
        <v>25</v>
      </c>
      <c r="E9" s="4">
        <v>13</v>
      </c>
      <c r="F9" s="4">
        <v>735</v>
      </c>
      <c r="G9" s="5">
        <v>1028.2</v>
      </c>
      <c r="H9" s="3">
        <v>0.05</v>
      </c>
      <c r="I9" s="5">
        <f t="shared" si="1"/>
        <v>51.410000000000004</v>
      </c>
    </row>
    <row r="10" spans="2:9" x14ac:dyDescent="0.25">
      <c r="B10" s="80" t="s">
        <v>112</v>
      </c>
      <c r="C10" s="2" t="s">
        <v>19</v>
      </c>
      <c r="D10" s="4">
        <v>9</v>
      </c>
      <c r="E10" s="4">
        <v>15</v>
      </c>
      <c r="F10" s="4">
        <v>140397</v>
      </c>
      <c r="G10" s="5">
        <v>761.5</v>
      </c>
      <c r="H10" s="3">
        <v>0.05</v>
      </c>
      <c r="I10" s="5">
        <f t="shared" si="1"/>
        <v>38.075000000000003</v>
      </c>
    </row>
    <row r="11" spans="2:9" x14ac:dyDescent="0.25">
      <c r="B11" s="80" t="s">
        <v>112</v>
      </c>
      <c r="C11" s="2" t="s">
        <v>19</v>
      </c>
      <c r="D11" s="4">
        <v>10</v>
      </c>
      <c r="E11" s="4">
        <v>14</v>
      </c>
      <c r="F11" s="4">
        <v>220451</v>
      </c>
      <c r="G11" s="5">
        <v>710.7</v>
      </c>
      <c r="H11" s="3">
        <v>0.05</v>
      </c>
      <c r="I11" s="5">
        <f t="shared" ref="I11" si="2">G11*H11</f>
        <v>35.535000000000004</v>
      </c>
    </row>
    <row r="12" spans="2:9" x14ac:dyDescent="0.25">
      <c r="B12" s="80" t="s">
        <v>116</v>
      </c>
      <c r="C12" s="6" t="s">
        <v>203</v>
      </c>
      <c r="D12" s="6" t="s">
        <v>115</v>
      </c>
      <c r="E12" s="4">
        <v>13</v>
      </c>
      <c r="F12" s="4">
        <v>205702</v>
      </c>
      <c r="G12" s="5">
        <v>2700</v>
      </c>
      <c r="H12" s="3">
        <v>0.05</v>
      </c>
      <c r="I12" s="5">
        <f t="shared" ref="I12" si="3">G12*H12</f>
        <v>135</v>
      </c>
    </row>
    <row r="13" spans="2:9" x14ac:dyDescent="0.25">
      <c r="B13" s="80" t="s">
        <v>117</v>
      </c>
      <c r="C13" s="2" t="s">
        <v>37</v>
      </c>
      <c r="D13" s="4">
        <v>8</v>
      </c>
      <c r="E13" s="4">
        <v>14</v>
      </c>
      <c r="F13" s="4">
        <v>2354444</v>
      </c>
      <c r="G13" s="5">
        <v>2583</v>
      </c>
      <c r="H13" s="3">
        <v>0.05</v>
      </c>
      <c r="I13" s="5">
        <f t="shared" ref="I13:I16" si="4">G13*H13</f>
        <v>129.15</v>
      </c>
    </row>
    <row r="14" spans="2:9" x14ac:dyDescent="0.25">
      <c r="B14" s="80" t="s">
        <v>146</v>
      </c>
      <c r="C14" s="2" t="s">
        <v>17</v>
      </c>
      <c r="D14" s="4">
        <v>3</v>
      </c>
      <c r="E14" s="4">
        <v>13</v>
      </c>
      <c r="F14" s="4">
        <v>0</v>
      </c>
      <c r="G14" s="5">
        <v>850.2</v>
      </c>
      <c r="H14" s="3">
        <v>0.05</v>
      </c>
      <c r="I14" s="5">
        <f t="shared" ref="I14" si="5">G14*H14</f>
        <v>42.510000000000005</v>
      </c>
    </row>
    <row r="15" spans="2:9" x14ac:dyDescent="0.25">
      <c r="B15" s="80" t="s">
        <v>146</v>
      </c>
      <c r="C15" s="2" t="s">
        <v>17</v>
      </c>
      <c r="D15" s="4">
        <v>3</v>
      </c>
      <c r="E15" s="4">
        <v>14</v>
      </c>
      <c r="F15" s="4">
        <v>0</v>
      </c>
      <c r="G15" s="5">
        <v>850.2</v>
      </c>
      <c r="H15" s="3">
        <v>0.05</v>
      </c>
      <c r="I15" s="5">
        <f t="shared" si="4"/>
        <v>42.510000000000005</v>
      </c>
    </row>
    <row r="16" spans="2:9" x14ac:dyDescent="0.25">
      <c r="B16" s="80" t="s">
        <v>148</v>
      </c>
      <c r="C16" s="2" t="s">
        <v>18</v>
      </c>
      <c r="D16" s="4">
        <v>3</v>
      </c>
      <c r="E16" s="6" t="s">
        <v>58</v>
      </c>
      <c r="F16" s="4">
        <v>3087036</v>
      </c>
      <c r="G16" s="5">
        <v>658.5</v>
      </c>
      <c r="H16" s="3">
        <v>0.05</v>
      </c>
      <c r="I16" s="5">
        <f t="shared" si="4"/>
        <v>32.925000000000004</v>
      </c>
    </row>
    <row r="17" spans="2:9" x14ac:dyDescent="0.25">
      <c r="B17" s="80" t="s">
        <v>207</v>
      </c>
      <c r="C17" s="2" t="s">
        <v>15</v>
      </c>
      <c r="D17" s="4">
        <v>8</v>
      </c>
      <c r="E17" s="6" t="s">
        <v>206</v>
      </c>
      <c r="F17" s="4">
        <v>996678</v>
      </c>
      <c r="G17" s="5">
        <v>1163</v>
      </c>
      <c r="H17" s="3">
        <v>0.05</v>
      </c>
      <c r="I17" s="5">
        <f t="shared" ref="I17:I38" si="6">G17*H17</f>
        <v>58.150000000000006</v>
      </c>
    </row>
    <row r="18" spans="2:9" x14ac:dyDescent="0.25">
      <c r="B18" s="80" t="s">
        <v>164</v>
      </c>
      <c r="C18" s="43" t="s">
        <v>19</v>
      </c>
      <c r="D18" s="44">
        <v>37</v>
      </c>
      <c r="E18" s="48" t="s">
        <v>58</v>
      </c>
      <c r="F18" s="44">
        <v>2380832</v>
      </c>
      <c r="G18" s="45">
        <v>1391.2</v>
      </c>
      <c r="H18" s="46">
        <v>0.05</v>
      </c>
      <c r="I18" s="5">
        <f t="shared" si="6"/>
        <v>69.56</v>
      </c>
    </row>
    <row r="19" spans="2:9" x14ac:dyDescent="0.25">
      <c r="B19" s="80" t="s">
        <v>166</v>
      </c>
      <c r="C19" s="43" t="s">
        <v>48</v>
      </c>
      <c r="D19" s="44">
        <v>6</v>
      </c>
      <c r="E19" s="48" t="s">
        <v>115</v>
      </c>
      <c r="F19" s="48" t="s">
        <v>281</v>
      </c>
      <c r="G19" s="45">
        <v>1258</v>
      </c>
      <c r="H19" s="46">
        <v>0.05</v>
      </c>
      <c r="I19" s="5">
        <f t="shared" si="6"/>
        <v>62.900000000000006</v>
      </c>
    </row>
    <row r="20" spans="2:9" x14ac:dyDescent="0.25">
      <c r="B20" s="80" t="s">
        <v>167</v>
      </c>
      <c r="C20" s="43" t="s">
        <v>19</v>
      </c>
      <c r="D20" s="44">
        <v>20</v>
      </c>
      <c r="E20" s="48" t="s">
        <v>282</v>
      </c>
      <c r="F20" s="48" t="s">
        <v>283</v>
      </c>
      <c r="G20" s="45">
        <v>972.2</v>
      </c>
      <c r="H20" s="46">
        <v>0.05</v>
      </c>
      <c r="I20" s="5">
        <f t="shared" si="6"/>
        <v>48.610000000000007</v>
      </c>
    </row>
    <row r="21" spans="2:9" x14ac:dyDescent="0.25">
      <c r="B21" s="80" t="s">
        <v>198</v>
      </c>
      <c r="C21" s="43" t="s">
        <v>111</v>
      </c>
      <c r="D21" s="44">
        <v>2</v>
      </c>
      <c r="E21" s="48" t="s">
        <v>230</v>
      </c>
      <c r="F21" s="48" t="s">
        <v>279</v>
      </c>
      <c r="G21" s="45">
        <v>830.7</v>
      </c>
      <c r="H21" s="46">
        <v>0.05</v>
      </c>
      <c r="I21" s="5">
        <f t="shared" ref="I21" si="7">G21*H21</f>
        <v>41.535000000000004</v>
      </c>
    </row>
    <row r="22" spans="2:9" x14ac:dyDescent="0.25">
      <c r="B22" s="80" t="s">
        <v>198</v>
      </c>
      <c r="C22" s="43" t="s">
        <v>111</v>
      </c>
      <c r="D22" s="44">
        <v>3</v>
      </c>
      <c r="E22" s="48" t="s">
        <v>91</v>
      </c>
      <c r="F22" s="48" t="s">
        <v>280</v>
      </c>
      <c r="G22" s="45">
        <v>1120.4000000000001</v>
      </c>
      <c r="H22" s="46">
        <v>0.05</v>
      </c>
      <c r="I22" s="5">
        <f t="shared" si="6"/>
        <v>56.02000000000001</v>
      </c>
    </row>
    <row r="23" spans="2:9" x14ac:dyDescent="0.25">
      <c r="B23" s="80" t="s">
        <v>267</v>
      </c>
      <c r="C23" s="43" t="s">
        <v>111</v>
      </c>
      <c r="D23" s="44">
        <v>16</v>
      </c>
      <c r="E23" s="44">
        <v>3</v>
      </c>
      <c r="F23" s="44">
        <v>7677</v>
      </c>
      <c r="G23" s="45">
        <v>800</v>
      </c>
      <c r="H23" s="46">
        <v>0.05</v>
      </c>
      <c r="I23" s="5">
        <f t="shared" si="6"/>
        <v>40</v>
      </c>
    </row>
    <row r="24" spans="2:9" x14ac:dyDescent="0.25">
      <c r="B24" s="80" t="s">
        <v>201</v>
      </c>
      <c r="C24" s="43" t="s">
        <v>29</v>
      </c>
      <c r="D24" s="44">
        <v>3</v>
      </c>
      <c r="E24" s="44">
        <v>6</v>
      </c>
      <c r="F24" s="44">
        <v>3259870</v>
      </c>
      <c r="G24" s="45">
        <v>941.6</v>
      </c>
      <c r="H24" s="46">
        <v>0.05</v>
      </c>
      <c r="I24" s="5">
        <f t="shared" si="6"/>
        <v>47.080000000000005</v>
      </c>
    </row>
    <row r="25" spans="2:9" x14ac:dyDescent="0.25">
      <c r="B25" s="80" t="s">
        <v>273</v>
      </c>
      <c r="C25" s="2" t="s">
        <v>19</v>
      </c>
      <c r="D25" s="4">
        <v>16</v>
      </c>
      <c r="E25" s="4">
        <v>13</v>
      </c>
      <c r="F25" s="4">
        <v>3973</v>
      </c>
      <c r="G25" s="5">
        <v>842.8</v>
      </c>
      <c r="H25" s="3">
        <v>0.05</v>
      </c>
      <c r="I25" s="5">
        <f t="shared" ref="I25" si="8">G25*H25</f>
        <v>42.14</v>
      </c>
    </row>
    <row r="26" spans="2:9" x14ac:dyDescent="0.25">
      <c r="B26" s="80" t="s">
        <v>273</v>
      </c>
      <c r="C26" s="2" t="s">
        <v>19</v>
      </c>
      <c r="D26" s="4">
        <v>16</v>
      </c>
      <c r="E26" s="4">
        <v>12</v>
      </c>
      <c r="F26" s="4">
        <v>3598</v>
      </c>
      <c r="G26" s="5">
        <v>842.8</v>
      </c>
      <c r="H26" s="3">
        <v>0.05</v>
      </c>
      <c r="I26" s="5">
        <f t="shared" si="6"/>
        <v>42.14</v>
      </c>
    </row>
    <row r="27" spans="2:9" x14ac:dyDescent="0.25">
      <c r="B27" s="80" t="s">
        <v>266</v>
      </c>
      <c r="C27" s="2" t="s">
        <v>22</v>
      </c>
      <c r="D27" s="4">
        <v>1</v>
      </c>
      <c r="E27" s="4">
        <v>11</v>
      </c>
      <c r="F27" s="4" t="s">
        <v>278</v>
      </c>
      <c r="G27" s="5">
        <v>1500</v>
      </c>
      <c r="H27" s="3">
        <v>0.05</v>
      </c>
      <c r="I27" s="5">
        <f t="shared" si="6"/>
        <v>75</v>
      </c>
    </row>
    <row r="28" spans="2:9" x14ac:dyDescent="0.25">
      <c r="B28" s="80" t="s">
        <v>105</v>
      </c>
      <c r="C28" s="2" t="s">
        <v>20</v>
      </c>
      <c r="D28" s="4">
        <v>13</v>
      </c>
      <c r="E28" s="4">
        <v>6</v>
      </c>
      <c r="F28" s="4">
        <v>108</v>
      </c>
      <c r="G28" s="5">
        <v>2344</v>
      </c>
      <c r="H28" s="3">
        <v>0.05</v>
      </c>
      <c r="I28" s="5">
        <f t="shared" si="6"/>
        <v>117.2</v>
      </c>
    </row>
    <row r="29" spans="2:9" x14ac:dyDescent="0.25">
      <c r="B29" s="80" t="s">
        <v>275</v>
      </c>
      <c r="C29" s="2" t="s">
        <v>19</v>
      </c>
      <c r="D29" s="4">
        <v>13</v>
      </c>
      <c r="E29" s="4">
        <v>11</v>
      </c>
      <c r="F29" s="4">
        <v>0</v>
      </c>
      <c r="G29" s="5">
        <v>1625.2</v>
      </c>
      <c r="H29" s="3">
        <v>0.05</v>
      </c>
      <c r="I29" s="5">
        <f t="shared" si="6"/>
        <v>81.260000000000005</v>
      </c>
    </row>
    <row r="30" spans="2:9" x14ac:dyDescent="0.25">
      <c r="B30" s="80" t="s">
        <v>271</v>
      </c>
      <c r="C30" s="2" t="s">
        <v>19</v>
      </c>
      <c r="D30" s="4">
        <v>26</v>
      </c>
      <c r="E30" s="4">
        <v>13</v>
      </c>
      <c r="F30" s="4" t="s">
        <v>272</v>
      </c>
      <c r="G30" s="5">
        <v>850.2</v>
      </c>
      <c r="H30" s="3">
        <v>0.05</v>
      </c>
      <c r="I30" s="5">
        <f t="shared" si="6"/>
        <v>42.510000000000005</v>
      </c>
    </row>
    <row r="31" spans="2:9" x14ac:dyDescent="0.25">
      <c r="B31" s="80" t="s">
        <v>270</v>
      </c>
      <c r="C31" s="2" t="s">
        <v>22</v>
      </c>
      <c r="D31" s="4">
        <v>5</v>
      </c>
      <c r="E31" s="4">
        <v>10</v>
      </c>
      <c r="F31" s="4">
        <v>3703</v>
      </c>
      <c r="G31" s="5">
        <v>5000</v>
      </c>
      <c r="H31" s="3">
        <v>0.05</v>
      </c>
      <c r="I31" s="5">
        <f t="shared" si="6"/>
        <v>250</v>
      </c>
    </row>
    <row r="32" spans="2:9" x14ac:dyDescent="0.25">
      <c r="B32" s="80" t="s">
        <v>268</v>
      </c>
      <c r="C32" s="2" t="s">
        <v>4</v>
      </c>
      <c r="D32" s="4">
        <v>11</v>
      </c>
      <c r="E32" s="4">
        <v>5</v>
      </c>
      <c r="F32" s="4" t="s">
        <v>269</v>
      </c>
      <c r="G32" s="5">
        <v>958.3</v>
      </c>
      <c r="H32" s="3">
        <v>0.05</v>
      </c>
      <c r="I32" s="5">
        <f t="shared" ref="I32" si="9">G32*H32</f>
        <v>47.914999999999999</v>
      </c>
    </row>
    <row r="33" spans="2:13" x14ac:dyDescent="0.25">
      <c r="B33" s="80" t="s">
        <v>268</v>
      </c>
      <c r="C33" s="2" t="s">
        <v>4</v>
      </c>
      <c r="D33" s="4">
        <v>11</v>
      </c>
      <c r="E33" s="4">
        <v>4</v>
      </c>
      <c r="F33" s="4" t="s">
        <v>317</v>
      </c>
      <c r="G33" s="5">
        <v>958.3</v>
      </c>
      <c r="H33" s="3">
        <v>0.05</v>
      </c>
      <c r="I33" s="5">
        <f t="shared" si="6"/>
        <v>47.914999999999999</v>
      </c>
    </row>
    <row r="34" spans="2:13" x14ac:dyDescent="0.25">
      <c r="B34" s="80" t="s">
        <v>266</v>
      </c>
      <c r="C34" s="2" t="s">
        <v>22</v>
      </c>
      <c r="D34" s="4">
        <v>1</v>
      </c>
      <c r="E34" s="4">
        <v>10</v>
      </c>
      <c r="F34" s="4">
        <v>3740</v>
      </c>
      <c r="G34" s="5">
        <v>1500</v>
      </c>
      <c r="H34" s="3">
        <v>0.05</v>
      </c>
      <c r="I34" s="5">
        <f t="shared" si="6"/>
        <v>75</v>
      </c>
    </row>
    <row r="35" spans="2:13" x14ac:dyDescent="0.25">
      <c r="B35" s="80" t="s">
        <v>264</v>
      </c>
      <c r="C35" s="2" t="s">
        <v>19</v>
      </c>
      <c r="D35" s="4">
        <v>8</v>
      </c>
      <c r="E35" s="4">
        <v>14</v>
      </c>
      <c r="F35" s="4" t="s">
        <v>265</v>
      </c>
      <c r="G35" s="5">
        <v>1000</v>
      </c>
      <c r="H35" s="3">
        <v>0.05</v>
      </c>
      <c r="I35" s="5">
        <f t="shared" si="6"/>
        <v>50</v>
      </c>
    </row>
    <row r="36" spans="2:13" x14ac:dyDescent="0.25">
      <c r="B36" s="80" t="s">
        <v>264</v>
      </c>
      <c r="C36" s="2" t="s">
        <v>19</v>
      </c>
      <c r="D36" s="4">
        <v>8</v>
      </c>
      <c r="E36" s="4">
        <v>15</v>
      </c>
      <c r="F36" s="4" t="s">
        <v>277</v>
      </c>
      <c r="G36" s="5">
        <v>1000</v>
      </c>
      <c r="H36" s="3">
        <v>0.05</v>
      </c>
      <c r="I36" s="5">
        <f t="shared" ref="I36:I37" si="10">G36*H36</f>
        <v>50</v>
      </c>
    </row>
    <row r="37" spans="2:13" x14ac:dyDescent="0.25">
      <c r="B37" s="80" t="s">
        <v>114</v>
      </c>
      <c r="C37" s="2" t="s">
        <v>20</v>
      </c>
      <c r="D37" s="4">
        <v>6</v>
      </c>
      <c r="E37" s="4">
        <v>8</v>
      </c>
      <c r="F37" s="4">
        <v>621964</v>
      </c>
      <c r="G37" s="5">
        <v>1432.02</v>
      </c>
      <c r="H37" s="3">
        <v>0.05</v>
      </c>
      <c r="I37" s="5">
        <f t="shared" si="10"/>
        <v>71.600999999999999</v>
      </c>
    </row>
    <row r="38" spans="2:13" x14ac:dyDescent="0.25">
      <c r="B38" s="80" t="s">
        <v>262</v>
      </c>
      <c r="C38" s="2" t="s">
        <v>263</v>
      </c>
      <c r="D38" s="4">
        <v>5</v>
      </c>
      <c r="E38" s="4" t="s">
        <v>21</v>
      </c>
      <c r="F38" s="4">
        <v>560</v>
      </c>
      <c r="G38" s="5">
        <v>1000</v>
      </c>
      <c r="H38" s="3">
        <v>0.3</v>
      </c>
      <c r="I38" s="5">
        <f t="shared" si="6"/>
        <v>300</v>
      </c>
    </row>
    <row r="39" spans="2:13" x14ac:dyDescent="0.25">
      <c r="B39" s="80"/>
      <c r="C39" s="43"/>
      <c r="D39" s="44"/>
      <c r="E39" s="44"/>
      <c r="F39" s="44"/>
      <c r="G39" s="45"/>
      <c r="H39" s="46"/>
      <c r="I39" s="33"/>
    </row>
    <row r="40" spans="2:13" x14ac:dyDescent="0.25">
      <c r="B40" s="80"/>
      <c r="C40" s="43"/>
      <c r="D40" s="44"/>
      <c r="E40" s="44"/>
      <c r="F40" s="44"/>
      <c r="G40" s="45"/>
      <c r="H40" s="46"/>
      <c r="I40" s="33"/>
    </row>
    <row r="41" spans="2:13" x14ac:dyDescent="0.25">
      <c r="B41" s="80"/>
      <c r="C41" s="43"/>
      <c r="D41" s="44"/>
      <c r="E41" s="44"/>
      <c r="F41" s="44"/>
      <c r="G41" s="45"/>
      <c r="H41" s="46"/>
      <c r="I41" s="33"/>
    </row>
    <row r="42" spans="2:13" ht="15.75" thickBot="1" x14ac:dyDescent="0.3">
      <c r="B42" s="2"/>
      <c r="C42" s="43"/>
      <c r="D42" s="44"/>
      <c r="E42" s="44"/>
      <c r="F42" s="44"/>
      <c r="G42" s="45"/>
      <c r="H42" s="46"/>
      <c r="I42" s="47">
        <f>SUM(I6:I38)</f>
        <v>2492.0160000000001</v>
      </c>
    </row>
    <row r="43" spans="2:13" x14ac:dyDescent="0.25">
      <c r="B43" s="132" t="s">
        <v>156</v>
      </c>
      <c r="C43" s="133"/>
      <c r="D43" s="133"/>
      <c r="E43" s="133"/>
      <c r="F43" s="133"/>
      <c r="G43" s="133"/>
      <c r="H43" s="133"/>
      <c r="I43" s="134"/>
    </row>
    <row r="44" spans="2:13" x14ac:dyDescent="0.25">
      <c r="B44" s="97" t="s">
        <v>157</v>
      </c>
      <c r="C44" s="4" t="s">
        <v>16</v>
      </c>
      <c r="D44" s="4">
        <v>8</v>
      </c>
      <c r="E44" s="4">
        <v>7</v>
      </c>
      <c r="F44" s="98">
        <v>267</v>
      </c>
      <c r="G44" s="99">
        <v>869.1</v>
      </c>
      <c r="H44" s="100">
        <v>0.01</v>
      </c>
      <c r="I44" s="99">
        <f>G44*H44</f>
        <v>8.6910000000000007</v>
      </c>
    </row>
    <row r="45" spans="2:13" x14ac:dyDescent="0.25">
      <c r="B45" s="97" t="s">
        <v>157</v>
      </c>
      <c r="C45" s="4" t="s">
        <v>16</v>
      </c>
      <c r="D45" s="4">
        <v>8</v>
      </c>
      <c r="E45" s="4">
        <v>7</v>
      </c>
      <c r="F45" s="98">
        <v>4635211</v>
      </c>
      <c r="G45" s="99">
        <v>369.1</v>
      </c>
      <c r="H45" s="100">
        <v>0.01</v>
      </c>
      <c r="I45" s="99">
        <f>G45*H45</f>
        <v>3.6910000000000003</v>
      </c>
    </row>
    <row r="46" spans="2:13" x14ac:dyDescent="0.25">
      <c r="B46" s="97" t="s">
        <v>157</v>
      </c>
      <c r="C46" s="4" t="s">
        <v>16</v>
      </c>
      <c r="D46" s="4">
        <v>8</v>
      </c>
      <c r="E46" s="4">
        <v>7</v>
      </c>
      <c r="F46" s="98">
        <v>4630290</v>
      </c>
      <c r="G46" s="99">
        <v>500</v>
      </c>
      <c r="H46" s="100">
        <v>0.01</v>
      </c>
      <c r="I46" s="99">
        <f t="shared" ref="I46" si="11">G46*H46</f>
        <v>5</v>
      </c>
    </row>
    <row r="47" spans="2:13" x14ac:dyDescent="0.25">
      <c r="B47" s="97" t="s">
        <v>296</v>
      </c>
      <c r="C47" s="4" t="s">
        <v>37</v>
      </c>
      <c r="D47" s="4">
        <v>1</v>
      </c>
      <c r="E47" s="4">
        <v>13</v>
      </c>
      <c r="F47" s="98">
        <v>672</v>
      </c>
      <c r="G47" s="99">
        <v>2345.6</v>
      </c>
      <c r="H47" s="100">
        <v>0.01</v>
      </c>
      <c r="I47" s="99">
        <f>G47*H47</f>
        <v>23.456</v>
      </c>
    </row>
    <row r="48" spans="2:13" x14ac:dyDescent="0.25">
      <c r="B48" s="101" t="s">
        <v>180</v>
      </c>
      <c r="C48" s="56" t="s">
        <v>15</v>
      </c>
      <c r="D48" s="56">
        <v>18</v>
      </c>
      <c r="E48" s="56" t="s">
        <v>24</v>
      </c>
      <c r="F48" s="102">
        <v>117</v>
      </c>
      <c r="G48" s="103">
        <v>9000</v>
      </c>
      <c r="H48" s="100">
        <v>0.01</v>
      </c>
      <c r="I48" s="103">
        <f t="shared" ref="I48:I49" si="12">G48*H48</f>
        <v>90</v>
      </c>
      <c r="L48" s="59"/>
      <c r="M48" s="96"/>
    </row>
    <row r="49" spans="2:10" x14ac:dyDescent="0.25">
      <c r="B49" s="97" t="s">
        <v>297</v>
      </c>
      <c r="C49" s="4" t="s">
        <v>4</v>
      </c>
      <c r="D49" s="4">
        <v>5</v>
      </c>
      <c r="E49" s="4">
        <v>1</v>
      </c>
      <c r="F49" s="98">
        <v>3984</v>
      </c>
      <c r="G49" s="99">
        <v>1800</v>
      </c>
      <c r="H49" s="100">
        <v>0.01</v>
      </c>
      <c r="I49" s="99">
        <f t="shared" si="12"/>
        <v>18</v>
      </c>
    </row>
    <row r="50" spans="2:10" x14ac:dyDescent="0.25">
      <c r="B50" s="97" t="s">
        <v>297</v>
      </c>
      <c r="C50" s="4" t="s">
        <v>4</v>
      </c>
      <c r="D50" s="4">
        <v>5</v>
      </c>
      <c r="E50" s="4">
        <v>1</v>
      </c>
      <c r="F50" s="98">
        <v>3983</v>
      </c>
      <c r="G50" s="99">
        <v>23.3</v>
      </c>
      <c r="H50" s="100">
        <v>0.01</v>
      </c>
      <c r="I50" s="99">
        <f>G50*H50</f>
        <v>0.23300000000000001</v>
      </c>
    </row>
    <row r="51" spans="2:10" x14ac:dyDescent="0.25">
      <c r="B51" s="97" t="s">
        <v>298</v>
      </c>
      <c r="C51" s="4" t="s">
        <v>4</v>
      </c>
      <c r="D51" s="4">
        <v>14</v>
      </c>
      <c r="E51" s="4">
        <v>1</v>
      </c>
      <c r="F51" s="98">
        <v>3981</v>
      </c>
      <c r="G51" s="99">
        <v>264</v>
      </c>
      <c r="H51" s="100">
        <v>0.01</v>
      </c>
      <c r="I51" s="99">
        <f>G51*H51</f>
        <v>2.64</v>
      </c>
    </row>
    <row r="52" spans="2:10" x14ac:dyDescent="0.25">
      <c r="B52" s="104" t="s">
        <v>299</v>
      </c>
      <c r="C52" s="105" t="s">
        <v>17</v>
      </c>
      <c r="D52" s="105" t="s">
        <v>300</v>
      </c>
      <c r="E52" s="105" t="s">
        <v>24</v>
      </c>
      <c r="F52" s="106" t="s">
        <v>301</v>
      </c>
      <c r="G52" s="107">
        <v>500</v>
      </c>
      <c r="H52" s="100">
        <v>0.01</v>
      </c>
      <c r="I52" s="107">
        <f>G52*H52</f>
        <v>5</v>
      </c>
    </row>
    <row r="53" spans="2:10" x14ac:dyDescent="0.25">
      <c r="B53" s="104" t="s">
        <v>168</v>
      </c>
      <c r="C53" s="105" t="s">
        <v>62</v>
      </c>
      <c r="D53" s="105">
        <v>10</v>
      </c>
      <c r="E53" s="105">
        <v>2</v>
      </c>
      <c r="F53" s="106">
        <v>0</v>
      </c>
      <c r="G53" s="107">
        <v>759.3</v>
      </c>
      <c r="H53" s="100">
        <v>0.01</v>
      </c>
      <c r="I53" s="107">
        <f>G53*H53</f>
        <v>7.593</v>
      </c>
    </row>
    <row r="54" spans="2:10" ht="15.75" customHeight="1" x14ac:dyDescent="0.25">
      <c r="B54" s="2" t="s">
        <v>302</v>
      </c>
      <c r="C54" s="4" t="s">
        <v>22</v>
      </c>
      <c r="D54" s="4">
        <v>22</v>
      </c>
      <c r="E54" s="4" t="s">
        <v>26</v>
      </c>
      <c r="F54" s="98">
        <v>4789243</v>
      </c>
      <c r="G54" s="99">
        <v>6000</v>
      </c>
      <c r="H54" s="100">
        <v>0.01</v>
      </c>
      <c r="I54" s="99">
        <f t="shared" ref="I54:I55" si="13">G54*H54</f>
        <v>60</v>
      </c>
    </row>
    <row r="55" spans="2:10" ht="15.75" customHeight="1" x14ac:dyDescent="0.25">
      <c r="B55" s="2" t="s">
        <v>302</v>
      </c>
      <c r="C55" s="4" t="s">
        <v>22</v>
      </c>
      <c r="D55" s="4">
        <v>22</v>
      </c>
      <c r="E55" s="4" t="s">
        <v>26</v>
      </c>
      <c r="F55" s="98">
        <v>255</v>
      </c>
      <c r="G55" s="99">
        <v>3000</v>
      </c>
      <c r="H55" s="100">
        <v>0.01</v>
      </c>
      <c r="I55" s="99">
        <f t="shared" si="13"/>
        <v>30</v>
      </c>
    </row>
    <row r="56" spans="2:10" x14ac:dyDescent="0.25">
      <c r="B56" s="2" t="s">
        <v>303</v>
      </c>
      <c r="C56" s="4" t="s">
        <v>37</v>
      </c>
      <c r="D56" s="4">
        <v>6</v>
      </c>
      <c r="E56" s="4">
        <v>2</v>
      </c>
      <c r="F56" s="98">
        <v>84429</v>
      </c>
      <c r="G56" s="99">
        <v>833.5</v>
      </c>
      <c r="H56" s="100">
        <v>0.01</v>
      </c>
      <c r="I56" s="99">
        <f>G56*H56</f>
        <v>8.3350000000000009</v>
      </c>
    </row>
    <row r="57" spans="2:10" x14ac:dyDescent="0.25">
      <c r="B57" s="2" t="s">
        <v>163</v>
      </c>
      <c r="C57" s="4" t="s">
        <v>22</v>
      </c>
      <c r="D57" s="4">
        <v>12</v>
      </c>
      <c r="E57" s="4">
        <v>2</v>
      </c>
      <c r="F57" s="98">
        <v>3941</v>
      </c>
      <c r="G57" s="99">
        <v>791.7</v>
      </c>
      <c r="H57" s="100">
        <v>0.01</v>
      </c>
      <c r="I57" s="99">
        <f t="shared" ref="I57:I80" si="14">G57*H57</f>
        <v>7.9170000000000007</v>
      </c>
    </row>
    <row r="58" spans="2:10" x14ac:dyDescent="0.25">
      <c r="B58" s="2" t="s">
        <v>304</v>
      </c>
      <c r="C58" s="4" t="s">
        <v>22</v>
      </c>
      <c r="D58" s="4">
        <v>13</v>
      </c>
      <c r="E58" s="4">
        <v>2</v>
      </c>
      <c r="F58" s="98">
        <v>3941</v>
      </c>
      <c r="G58" s="99">
        <v>791.7</v>
      </c>
      <c r="H58" s="100">
        <v>0.01</v>
      </c>
      <c r="I58" s="99">
        <f t="shared" si="14"/>
        <v>7.9170000000000007</v>
      </c>
    </row>
    <row r="59" spans="2:10" x14ac:dyDescent="0.25">
      <c r="B59" s="55" t="s">
        <v>305</v>
      </c>
      <c r="C59" s="56" t="s">
        <v>22</v>
      </c>
      <c r="D59" s="56">
        <v>6</v>
      </c>
      <c r="E59" s="56" t="s">
        <v>9</v>
      </c>
      <c r="F59" s="102">
        <v>632</v>
      </c>
      <c r="G59" s="103">
        <v>4000</v>
      </c>
      <c r="H59" s="100">
        <v>0.01</v>
      </c>
      <c r="I59" s="103">
        <f t="shared" si="14"/>
        <v>40</v>
      </c>
    </row>
    <row r="60" spans="2:10" x14ac:dyDescent="0.25">
      <c r="B60" s="55" t="s">
        <v>305</v>
      </c>
      <c r="C60" s="56" t="s">
        <v>22</v>
      </c>
      <c r="D60" s="56">
        <v>6</v>
      </c>
      <c r="E60" s="56" t="s">
        <v>9</v>
      </c>
      <c r="F60" s="102">
        <v>630</v>
      </c>
      <c r="G60" s="103">
        <v>5000</v>
      </c>
      <c r="H60" s="100">
        <v>0.01</v>
      </c>
      <c r="I60" s="103">
        <f t="shared" si="14"/>
        <v>50</v>
      </c>
    </row>
    <row r="61" spans="2:10" x14ac:dyDescent="0.25">
      <c r="B61" s="55" t="s">
        <v>305</v>
      </c>
      <c r="C61" s="56" t="s">
        <v>22</v>
      </c>
      <c r="D61" s="56">
        <v>6</v>
      </c>
      <c r="E61" s="56" t="s">
        <v>9</v>
      </c>
      <c r="F61" s="102">
        <v>634</v>
      </c>
      <c r="G61" s="103">
        <v>4900</v>
      </c>
      <c r="H61" s="100">
        <v>0.01</v>
      </c>
      <c r="I61" s="103">
        <f t="shared" si="14"/>
        <v>49</v>
      </c>
    </row>
    <row r="62" spans="2:10" x14ac:dyDescent="0.25">
      <c r="B62" s="55" t="s">
        <v>305</v>
      </c>
      <c r="C62" s="56" t="s">
        <v>22</v>
      </c>
      <c r="D62" s="56">
        <v>6</v>
      </c>
      <c r="E62" s="56" t="s">
        <v>9</v>
      </c>
      <c r="F62" s="102">
        <v>636</v>
      </c>
      <c r="G62" s="103">
        <v>5000</v>
      </c>
      <c r="H62" s="100">
        <v>0.01</v>
      </c>
      <c r="I62" s="103">
        <f t="shared" si="14"/>
        <v>50</v>
      </c>
    </row>
    <row r="63" spans="2:10" x14ac:dyDescent="0.25">
      <c r="B63" s="55" t="s">
        <v>305</v>
      </c>
      <c r="C63" s="56" t="s">
        <v>22</v>
      </c>
      <c r="D63" s="56">
        <v>6</v>
      </c>
      <c r="E63" s="56" t="s">
        <v>9</v>
      </c>
      <c r="F63" s="102">
        <v>638</v>
      </c>
      <c r="G63" s="103">
        <v>4100</v>
      </c>
      <c r="H63" s="100">
        <v>0.01</v>
      </c>
      <c r="I63" s="103">
        <f t="shared" si="14"/>
        <v>41</v>
      </c>
      <c r="J63" s="95"/>
    </row>
    <row r="64" spans="2:10" x14ac:dyDescent="0.25">
      <c r="B64" s="55" t="s">
        <v>306</v>
      </c>
      <c r="C64" s="56" t="s">
        <v>22</v>
      </c>
      <c r="D64" s="56">
        <v>26</v>
      </c>
      <c r="E64" s="56" t="s">
        <v>26</v>
      </c>
      <c r="F64" s="102">
        <v>704</v>
      </c>
      <c r="G64" s="103">
        <v>4000</v>
      </c>
      <c r="H64" s="100">
        <v>0.01</v>
      </c>
      <c r="I64" s="103">
        <f t="shared" si="14"/>
        <v>40</v>
      </c>
      <c r="J64" t="s">
        <v>153</v>
      </c>
    </row>
    <row r="65" spans="2:9" x14ac:dyDescent="0.25">
      <c r="B65" s="55" t="s">
        <v>307</v>
      </c>
      <c r="C65" s="56" t="s">
        <v>4</v>
      </c>
      <c r="D65" s="56">
        <v>5</v>
      </c>
      <c r="E65" s="56" t="s">
        <v>26</v>
      </c>
      <c r="F65" s="102">
        <v>706</v>
      </c>
      <c r="G65" s="103">
        <v>4000</v>
      </c>
      <c r="H65" s="100">
        <v>0.01</v>
      </c>
      <c r="I65" s="103">
        <f t="shared" si="14"/>
        <v>40</v>
      </c>
    </row>
    <row r="66" spans="2:9" x14ac:dyDescent="0.25">
      <c r="B66" s="2" t="s">
        <v>308</v>
      </c>
      <c r="C66" s="4" t="s">
        <v>19</v>
      </c>
      <c r="D66" s="4">
        <v>24</v>
      </c>
      <c r="E66" s="4">
        <v>2</v>
      </c>
      <c r="F66" s="98">
        <v>1081344</v>
      </c>
      <c r="G66" s="99">
        <v>500</v>
      </c>
      <c r="H66" s="100">
        <v>0.01</v>
      </c>
      <c r="I66" s="99">
        <f t="shared" si="14"/>
        <v>5</v>
      </c>
    </row>
    <row r="67" spans="2:9" x14ac:dyDescent="0.25">
      <c r="B67" s="2" t="s">
        <v>308</v>
      </c>
      <c r="C67" s="4" t="s">
        <v>19</v>
      </c>
      <c r="D67" s="4">
        <v>24</v>
      </c>
      <c r="E67" s="4">
        <v>2</v>
      </c>
      <c r="F67" s="98">
        <v>2391123</v>
      </c>
      <c r="G67" s="99">
        <v>500</v>
      </c>
      <c r="H67" s="100">
        <v>0.01</v>
      </c>
      <c r="I67" s="99">
        <f t="shared" si="14"/>
        <v>5</v>
      </c>
    </row>
    <row r="68" spans="2:9" x14ac:dyDescent="0.25">
      <c r="B68" s="2" t="s">
        <v>309</v>
      </c>
      <c r="C68" s="4" t="s">
        <v>4</v>
      </c>
      <c r="D68" s="4">
        <v>27</v>
      </c>
      <c r="E68" s="4">
        <v>3</v>
      </c>
      <c r="F68" s="98">
        <v>64</v>
      </c>
      <c r="G68" s="99">
        <v>763.8</v>
      </c>
      <c r="H68" s="100">
        <v>0.01</v>
      </c>
      <c r="I68" s="99">
        <f t="shared" si="14"/>
        <v>7.6379999999999999</v>
      </c>
    </row>
    <row r="69" spans="2:9" x14ac:dyDescent="0.25">
      <c r="B69" s="2" t="s">
        <v>310</v>
      </c>
      <c r="C69" s="4" t="s">
        <v>37</v>
      </c>
      <c r="D69" s="4">
        <v>6</v>
      </c>
      <c r="E69" s="4">
        <v>3</v>
      </c>
      <c r="F69" s="98">
        <v>25032633</v>
      </c>
      <c r="G69" s="99">
        <v>1145</v>
      </c>
      <c r="H69" s="100">
        <v>0.01</v>
      </c>
      <c r="I69" s="99">
        <f t="shared" si="14"/>
        <v>11.450000000000001</v>
      </c>
    </row>
    <row r="70" spans="2:9" x14ac:dyDescent="0.25">
      <c r="B70" s="2" t="s">
        <v>311</v>
      </c>
      <c r="C70" s="4" t="s">
        <v>16</v>
      </c>
      <c r="D70" s="4">
        <v>15</v>
      </c>
      <c r="E70" s="4" t="s">
        <v>26</v>
      </c>
      <c r="F70" s="98">
        <v>652</v>
      </c>
      <c r="G70" s="99">
        <v>1500</v>
      </c>
      <c r="H70" s="100">
        <v>0.01</v>
      </c>
      <c r="I70" s="99">
        <f t="shared" si="14"/>
        <v>15</v>
      </c>
    </row>
    <row r="71" spans="2:9" x14ac:dyDescent="0.25">
      <c r="B71" s="2" t="s">
        <v>312</v>
      </c>
      <c r="C71" s="4" t="s">
        <v>17</v>
      </c>
      <c r="D71" s="4">
        <v>5</v>
      </c>
      <c r="E71" s="4" t="s">
        <v>26</v>
      </c>
      <c r="F71" s="98">
        <v>4099</v>
      </c>
      <c r="G71" s="99">
        <v>2790</v>
      </c>
      <c r="H71" s="100">
        <v>0.01</v>
      </c>
      <c r="I71" s="99">
        <f t="shared" si="14"/>
        <v>27.900000000000002</v>
      </c>
    </row>
    <row r="72" spans="2:9" x14ac:dyDescent="0.25">
      <c r="B72" s="2" t="s">
        <v>313</v>
      </c>
      <c r="C72" s="4" t="s">
        <v>17</v>
      </c>
      <c r="D72" s="4">
        <v>3</v>
      </c>
      <c r="E72" s="4">
        <v>2</v>
      </c>
      <c r="F72" s="98">
        <v>6031326</v>
      </c>
      <c r="G72" s="99">
        <v>500</v>
      </c>
      <c r="H72" s="100">
        <v>0.01</v>
      </c>
      <c r="I72" s="99">
        <f t="shared" si="14"/>
        <v>5</v>
      </c>
    </row>
    <row r="73" spans="2:9" x14ac:dyDescent="0.25">
      <c r="B73" s="2" t="s">
        <v>313</v>
      </c>
      <c r="C73" s="4" t="s">
        <v>17</v>
      </c>
      <c r="D73" s="4">
        <v>3</v>
      </c>
      <c r="E73" s="4">
        <v>2</v>
      </c>
      <c r="F73" s="98">
        <v>5256696</v>
      </c>
      <c r="G73" s="99">
        <v>125</v>
      </c>
      <c r="H73" s="100">
        <v>0.01</v>
      </c>
      <c r="I73" s="99">
        <f t="shared" si="14"/>
        <v>1.25</v>
      </c>
    </row>
    <row r="74" spans="2:9" x14ac:dyDescent="0.25">
      <c r="B74" s="2" t="s">
        <v>224</v>
      </c>
      <c r="C74" s="4" t="s">
        <v>17</v>
      </c>
      <c r="D74" s="4">
        <v>2</v>
      </c>
      <c r="E74" s="4">
        <v>2</v>
      </c>
      <c r="F74" s="98">
        <v>2746803</v>
      </c>
      <c r="G74" s="99">
        <v>500</v>
      </c>
      <c r="H74" s="100">
        <v>0.01</v>
      </c>
      <c r="I74" s="99">
        <f t="shared" si="14"/>
        <v>5</v>
      </c>
    </row>
    <row r="75" spans="2:9" x14ac:dyDescent="0.25">
      <c r="B75" s="2" t="s">
        <v>224</v>
      </c>
      <c r="C75" s="4" t="s">
        <v>17</v>
      </c>
      <c r="D75" s="4">
        <v>2</v>
      </c>
      <c r="E75" s="4">
        <v>2</v>
      </c>
      <c r="F75" s="98">
        <v>4252933</v>
      </c>
      <c r="G75" s="99">
        <v>125</v>
      </c>
      <c r="H75" s="100">
        <v>0.01</v>
      </c>
      <c r="I75" s="99">
        <f t="shared" si="14"/>
        <v>1.25</v>
      </c>
    </row>
    <row r="76" spans="2:9" x14ac:dyDescent="0.25">
      <c r="B76" s="2" t="s">
        <v>314</v>
      </c>
      <c r="C76" s="4" t="s">
        <v>15</v>
      </c>
      <c r="D76" s="4">
        <v>10</v>
      </c>
      <c r="E76" s="4">
        <v>1</v>
      </c>
      <c r="F76" s="98">
        <v>435697</v>
      </c>
      <c r="G76" s="99">
        <v>834</v>
      </c>
      <c r="H76" s="100">
        <v>0.01</v>
      </c>
      <c r="I76" s="99">
        <f t="shared" si="14"/>
        <v>8.34</v>
      </c>
    </row>
    <row r="77" spans="2:9" x14ac:dyDescent="0.25">
      <c r="B77" s="2" t="s">
        <v>315</v>
      </c>
      <c r="C77" s="4" t="s">
        <v>16</v>
      </c>
      <c r="D77" s="4">
        <v>8</v>
      </c>
      <c r="E77" s="4">
        <v>3</v>
      </c>
      <c r="F77" s="98">
        <v>593</v>
      </c>
      <c r="G77" s="99">
        <v>1000</v>
      </c>
      <c r="H77" s="100">
        <v>0.01</v>
      </c>
      <c r="I77" s="99">
        <f t="shared" si="14"/>
        <v>10</v>
      </c>
    </row>
    <row r="78" spans="2:9" x14ac:dyDescent="0.25">
      <c r="B78" s="2" t="s">
        <v>316</v>
      </c>
      <c r="C78" s="4" t="s">
        <v>4</v>
      </c>
      <c r="D78" s="4">
        <v>4</v>
      </c>
      <c r="E78" s="4" t="s">
        <v>26</v>
      </c>
      <c r="F78" s="98">
        <v>648</v>
      </c>
      <c r="G78" s="99">
        <v>1000</v>
      </c>
      <c r="H78" s="100">
        <v>0.01</v>
      </c>
      <c r="I78" s="99">
        <f t="shared" si="14"/>
        <v>10</v>
      </c>
    </row>
    <row r="79" spans="2:9" x14ac:dyDescent="0.25">
      <c r="B79" s="2" t="s">
        <v>314</v>
      </c>
      <c r="C79" s="4" t="s">
        <v>15</v>
      </c>
      <c r="D79" s="4">
        <v>10</v>
      </c>
      <c r="E79" s="4" t="s">
        <v>26</v>
      </c>
      <c r="F79" s="98">
        <v>60620</v>
      </c>
      <c r="G79" s="99">
        <v>2000</v>
      </c>
      <c r="H79" s="100">
        <v>0.01</v>
      </c>
      <c r="I79" s="99">
        <f t="shared" si="14"/>
        <v>20</v>
      </c>
    </row>
    <row r="80" spans="2:9" x14ac:dyDescent="0.25">
      <c r="B80" s="2" t="s">
        <v>314</v>
      </c>
      <c r="C80" s="4" t="s">
        <v>15</v>
      </c>
      <c r="D80" s="4">
        <v>10</v>
      </c>
      <c r="E80" s="4" t="s">
        <v>26</v>
      </c>
      <c r="F80" s="98">
        <v>2218544</v>
      </c>
      <c r="G80" s="99">
        <v>2000</v>
      </c>
      <c r="H80" s="100">
        <v>0.01</v>
      </c>
      <c r="I80" s="99">
        <f t="shared" si="14"/>
        <v>20</v>
      </c>
    </row>
    <row r="81" spans="2:9" x14ac:dyDescent="0.25">
      <c r="B81" s="108" t="s">
        <v>297</v>
      </c>
      <c r="C81" s="4" t="s">
        <v>4</v>
      </c>
      <c r="D81" s="4">
        <v>5</v>
      </c>
      <c r="E81" s="4" t="s">
        <v>26</v>
      </c>
      <c r="F81" s="98">
        <v>3539</v>
      </c>
      <c r="G81" s="99">
        <v>9000</v>
      </c>
      <c r="H81" s="100">
        <v>0.01</v>
      </c>
      <c r="I81" s="99">
        <f>G81*H81</f>
        <v>90</v>
      </c>
    </row>
    <row r="82" spans="2:9" x14ac:dyDescent="0.25">
      <c r="B82" s="109" t="s">
        <v>298</v>
      </c>
      <c r="C82" s="12" t="s">
        <v>4</v>
      </c>
      <c r="D82" s="12">
        <v>14</v>
      </c>
      <c r="E82" s="12" t="s">
        <v>26</v>
      </c>
      <c r="F82" s="110">
        <v>3537</v>
      </c>
      <c r="G82" s="111">
        <v>10000</v>
      </c>
      <c r="H82" s="112">
        <v>0.01</v>
      </c>
      <c r="I82" s="113">
        <f>G82*H82</f>
        <v>100</v>
      </c>
    </row>
    <row r="83" spans="2:9" x14ac:dyDescent="0.25">
      <c r="B83" s="135" t="s">
        <v>0</v>
      </c>
      <c r="C83" s="136"/>
      <c r="D83" s="136"/>
      <c r="E83" s="136"/>
      <c r="F83" s="136"/>
      <c r="G83" s="136"/>
      <c r="H83" s="136"/>
      <c r="I83" s="137"/>
    </row>
    <row r="84" spans="2:9" x14ac:dyDescent="0.25">
      <c r="B84" s="127" t="s">
        <v>93</v>
      </c>
      <c r="C84" s="128"/>
      <c r="D84" s="128"/>
      <c r="E84" s="128"/>
      <c r="F84" s="128"/>
      <c r="G84" s="128"/>
      <c r="H84" s="128"/>
      <c r="I84" s="129"/>
    </row>
    <row r="85" spans="2:9" ht="45" x14ac:dyDescent="0.25">
      <c r="B85" s="1" t="s">
        <v>1</v>
      </c>
      <c r="C85" s="1" t="s">
        <v>3</v>
      </c>
      <c r="D85" s="1" t="s">
        <v>2</v>
      </c>
      <c r="E85" s="1" t="s">
        <v>8</v>
      </c>
      <c r="F85" s="1" t="s">
        <v>12</v>
      </c>
      <c r="G85" s="1" t="s">
        <v>5</v>
      </c>
      <c r="H85" s="1" t="s">
        <v>6</v>
      </c>
      <c r="I85" s="1" t="s">
        <v>7</v>
      </c>
    </row>
    <row r="86" spans="2:9" x14ac:dyDescent="0.25">
      <c r="B86" s="80" t="s">
        <v>121</v>
      </c>
      <c r="C86" s="4" t="s">
        <v>22</v>
      </c>
      <c r="D86" s="4">
        <v>11</v>
      </c>
      <c r="E86" s="4">
        <v>3</v>
      </c>
      <c r="F86" s="4">
        <v>692</v>
      </c>
      <c r="G86" s="5">
        <v>833.3</v>
      </c>
      <c r="H86" s="3">
        <v>0.05</v>
      </c>
      <c r="I86" s="5">
        <f t="shared" ref="I86:I97" si="15">G86*H86</f>
        <v>41.664999999999999</v>
      </c>
    </row>
    <row r="87" spans="2:9" x14ac:dyDescent="0.25">
      <c r="B87" s="80" t="s">
        <v>284</v>
      </c>
      <c r="C87" s="4" t="s">
        <v>16</v>
      </c>
      <c r="D87" s="4">
        <v>1</v>
      </c>
      <c r="E87" s="4">
        <v>2</v>
      </c>
      <c r="F87" s="4" t="s">
        <v>285</v>
      </c>
      <c r="G87" s="5">
        <v>833.3</v>
      </c>
      <c r="H87" s="3">
        <v>0.05</v>
      </c>
      <c r="I87" s="5">
        <f t="shared" si="15"/>
        <v>41.664999999999999</v>
      </c>
    </row>
    <row r="88" spans="2:9" x14ac:dyDescent="0.25">
      <c r="B88" s="80" t="s">
        <v>123</v>
      </c>
      <c r="C88" s="4" t="s">
        <v>48</v>
      </c>
      <c r="D88" s="4">
        <v>5</v>
      </c>
      <c r="E88" s="4">
        <v>2</v>
      </c>
      <c r="F88" s="4" t="s">
        <v>286</v>
      </c>
      <c r="G88" s="5">
        <v>805.5</v>
      </c>
      <c r="H88" s="3">
        <v>0.05</v>
      </c>
      <c r="I88" s="5">
        <f t="shared" si="15"/>
        <v>40.275000000000006</v>
      </c>
    </row>
    <row r="89" spans="2:9" x14ac:dyDescent="0.25">
      <c r="B89" s="80" t="s">
        <v>118</v>
      </c>
      <c r="C89" s="4" t="s">
        <v>48</v>
      </c>
      <c r="D89" s="4">
        <v>6</v>
      </c>
      <c r="E89" s="4">
        <v>4</v>
      </c>
      <c r="F89" s="4">
        <v>323384</v>
      </c>
      <c r="G89" s="5">
        <v>1000</v>
      </c>
      <c r="H89" s="3">
        <v>0.05</v>
      </c>
      <c r="I89" s="5">
        <f t="shared" si="15"/>
        <v>50</v>
      </c>
    </row>
    <row r="90" spans="2:9" x14ac:dyDescent="0.25">
      <c r="B90" s="80" t="s">
        <v>118</v>
      </c>
      <c r="C90" s="4" t="s">
        <v>48</v>
      </c>
      <c r="D90" s="4">
        <v>6</v>
      </c>
      <c r="E90" s="4">
        <v>3</v>
      </c>
      <c r="F90" s="4">
        <v>83740</v>
      </c>
      <c r="G90" s="5">
        <v>833</v>
      </c>
      <c r="H90" s="3">
        <v>0.05</v>
      </c>
      <c r="I90" s="5">
        <f t="shared" si="15"/>
        <v>41.650000000000006</v>
      </c>
    </row>
    <row r="91" spans="2:9" x14ac:dyDescent="0.25">
      <c r="B91" s="80" t="s">
        <v>124</v>
      </c>
      <c r="C91" s="4" t="s">
        <v>22</v>
      </c>
      <c r="D91" s="6" t="s">
        <v>213</v>
      </c>
      <c r="E91" s="4">
        <v>2</v>
      </c>
      <c r="F91" s="4" t="s">
        <v>288</v>
      </c>
      <c r="G91" s="5">
        <v>1583</v>
      </c>
      <c r="H91" s="3">
        <v>0.05</v>
      </c>
      <c r="I91" s="5">
        <f t="shared" si="15"/>
        <v>79.150000000000006</v>
      </c>
    </row>
    <row r="92" spans="2:9" x14ac:dyDescent="0.25">
      <c r="B92" s="80" t="s">
        <v>126</v>
      </c>
      <c r="C92" s="4" t="s">
        <v>15</v>
      </c>
      <c r="D92" s="4">
        <v>2</v>
      </c>
      <c r="E92" s="4">
        <v>2</v>
      </c>
      <c r="F92" s="4" t="s">
        <v>287</v>
      </c>
      <c r="G92" s="5">
        <v>816.5</v>
      </c>
      <c r="H92" s="3">
        <v>0.05</v>
      </c>
      <c r="I92" s="5">
        <f t="shared" si="15"/>
        <v>40.825000000000003</v>
      </c>
    </row>
    <row r="93" spans="2:9" x14ac:dyDescent="0.25">
      <c r="B93" s="80" t="s">
        <v>120</v>
      </c>
      <c r="C93" s="4" t="s">
        <v>37</v>
      </c>
      <c r="D93" s="4">
        <v>5</v>
      </c>
      <c r="E93" s="4">
        <v>3</v>
      </c>
      <c r="F93" s="4">
        <v>1508380</v>
      </c>
      <c r="G93" s="5">
        <v>833.3</v>
      </c>
      <c r="H93" s="3">
        <v>0.05</v>
      </c>
      <c r="I93" s="5">
        <f t="shared" si="15"/>
        <v>41.664999999999999</v>
      </c>
    </row>
    <row r="94" spans="2:9" x14ac:dyDescent="0.25">
      <c r="B94" s="80" t="s">
        <v>154</v>
      </c>
      <c r="C94" s="4" t="s">
        <v>37</v>
      </c>
      <c r="D94" s="4">
        <v>4</v>
      </c>
      <c r="E94" s="4">
        <v>2</v>
      </c>
      <c r="F94" s="4">
        <v>2899034</v>
      </c>
      <c r="G94" s="5">
        <v>805.5</v>
      </c>
      <c r="H94" s="3">
        <v>0.05</v>
      </c>
      <c r="I94" s="5">
        <f t="shared" si="15"/>
        <v>40.275000000000006</v>
      </c>
    </row>
    <row r="95" spans="2:9" x14ac:dyDescent="0.25">
      <c r="B95" s="89" t="s">
        <v>289</v>
      </c>
      <c r="C95" s="12" t="s">
        <v>16</v>
      </c>
      <c r="D95" s="18" t="s">
        <v>290</v>
      </c>
      <c r="E95" s="18" t="s">
        <v>291</v>
      </c>
      <c r="F95" s="12">
        <v>701</v>
      </c>
      <c r="G95" s="19">
        <v>4409</v>
      </c>
      <c r="H95" s="20">
        <v>0.05</v>
      </c>
      <c r="I95" s="5">
        <f t="shared" si="15"/>
        <v>220.45000000000002</v>
      </c>
    </row>
    <row r="96" spans="2:9" x14ac:dyDescent="0.25">
      <c r="B96" s="89" t="s">
        <v>292</v>
      </c>
      <c r="C96" s="12" t="s">
        <v>22</v>
      </c>
      <c r="D96" s="18" t="s">
        <v>206</v>
      </c>
      <c r="E96" s="18" t="s">
        <v>169</v>
      </c>
      <c r="F96" s="12" t="s">
        <v>293</v>
      </c>
      <c r="G96" s="19">
        <v>830</v>
      </c>
      <c r="H96" s="20">
        <v>0.05</v>
      </c>
      <c r="I96" s="5">
        <f t="shared" si="15"/>
        <v>41.5</v>
      </c>
    </row>
    <row r="97" spans="2:9" x14ac:dyDescent="0.25">
      <c r="B97" s="89" t="s">
        <v>294</v>
      </c>
      <c r="C97" s="12" t="s">
        <v>16</v>
      </c>
      <c r="D97" s="18" t="s">
        <v>151</v>
      </c>
      <c r="E97" s="18" t="s">
        <v>21</v>
      </c>
      <c r="F97" s="12" t="s">
        <v>295</v>
      </c>
      <c r="G97" s="19">
        <v>1000</v>
      </c>
      <c r="H97" s="20">
        <v>0.3</v>
      </c>
      <c r="I97" s="5">
        <f t="shared" si="15"/>
        <v>300</v>
      </c>
    </row>
    <row r="98" spans="2:9" x14ac:dyDescent="0.25">
      <c r="B98" s="114" t="s">
        <v>9</v>
      </c>
      <c r="C98" s="115"/>
      <c r="D98" s="115"/>
      <c r="E98" s="115"/>
      <c r="F98" s="115"/>
      <c r="G98" s="115"/>
      <c r="H98" s="116"/>
      <c r="I98" s="9">
        <f>SUM(I86:I97)</f>
        <v>979.12000000000012</v>
      </c>
    </row>
    <row r="99" spans="2:9" x14ac:dyDescent="0.25">
      <c r="B99" s="2"/>
      <c r="C99" s="4"/>
      <c r="D99" s="4"/>
      <c r="E99" s="4"/>
      <c r="F99" s="4"/>
      <c r="G99" s="5"/>
      <c r="H99" s="3"/>
      <c r="I99" s="5"/>
    </row>
    <row r="100" spans="2:9" x14ac:dyDescent="0.25">
      <c r="B100" s="135" t="s">
        <v>0</v>
      </c>
      <c r="C100" s="136"/>
      <c r="D100" s="136"/>
      <c r="E100" s="136"/>
      <c r="F100" s="136"/>
      <c r="G100" s="136"/>
      <c r="H100" s="136"/>
      <c r="I100" s="137"/>
    </row>
    <row r="101" spans="2:9" x14ac:dyDescent="0.25">
      <c r="B101" s="127" t="s">
        <v>28</v>
      </c>
      <c r="C101" s="128"/>
      <c r="D101" s="128"/>
      <c r="E101" s="128"/>
      <c r="F101" s="128"/>
      <c r="G101" s="128"/>
      <c r="H101" s="128"/>
      <c r="I101" s="129"/>
    </row>
    <row r="102" spans="2:9" ht="45" x14ac:dyDescent="0.25">
      <c r="B102" s="1" t="s">
        <v>1</v>
      </c>
      <c r="C102" s="1" t="s">
        <v>3</v>
      </c>
      <c r="D102" s="1" t="s">
        <v>2</v>
      </c>
      <c r="E102" s="1" t="s">
        <v>8</v>
      </c>
      <c r="F102" s="1" t="s">
        <v>12</v>
      </c>
      <c r="G102" s="1" t="s">
        <v>5</v>
      </c>
      <c r="H102" s="1" t="s">
        <v>6</v>
      </c>
      <c r="I102" s="1" t="s">
        <v>7</v>
      </c>
    </row>
    <row r="103" spans="2:9" x14ac:dyDescent="0.25">
      <c r="B103" s="1"/>
      <c r="C103" s="1"/>
      <c r="D103" s="1"/>
      <c r="E103" s="1"/>
      <c r="F103" s="1"/>
      <c r="G103" s="1"/>
      <c r="H103" s="1"/>
      <c r="I103" s="1"/>
    </row>
    <row r="104" spans="2:9" x14ac:dyDescent="0.25">
      <c r="B104" s="2"/>
      <c r="C104" s="4"/>
      <c r="D104" s="4"/>
      <c r="E104" s="4"/>
      <c r="F104" s="4"/>
      <c r="G104" s="5"/>
      <c r="H104" s="3">
        <v>0.05</v>
      </c>
      <c r="I104" s="5">
        <f t="shared" ref="I104" si="16">G104*H104</f>
        <v>0</v>
      </c>
    </row>
    <row r="105" spans="2:9" x14ac:dyDescent="0.25">
      <c r="B105" s="114" t="s">
        <v>9</v>
      </c>
      <c r="C105" s="115"/>
      <c r="D105" s="115"/>
      <c r="E105" s="115"/>
      <c r="F105" s="115"/>
      <c r="G105" s="115"/>
      <c r="H105" s="116"/>
      <c r="I105" s="9">
        <f>SUM(I104:I104)</f>
        <v>0</v>
      </c>
    </row>
    <row r="108" spans="2:9" x14ac:dyDescent="0.25">
      <c r="B108" s="135" t="s">
        <v>0</v>
      </c>
      <c r="C108" s="136"/>
      <c r="D108" s="136"/>
      <c r="E108" s="136"/>
      <c r="F108" s="136"/>
      <c r="G108" s="136"/>
      <c r="H108" s="136"/>
      <c r="I108" s="137"/>
    </row>
    <row r="109" spans="2:9" x14ac:dyDescent="0.25">
      <c r="B109" s="127" t="s">
        <v>190</v>
      </c>
      <c r="C109" s="128"/>
      <c r="D109" s="128"/>
      <c r="E109" s="128"/>
      <c r="F109" s="128"/>
      <c r="G109" s="128"/>
      <c r="H109" s="128"/>
      <c r="I109" s="129"/>
    </row>
    <row r="110" spans="2:9" ht="45" x14ac:dyDescent="0.25">
      <c r="B110" s="1" t="s">
        <v>1</v>
      </c>
      <c r="C110" s="1" t="s">
        <v>3</v>
      </c>
      <c r="D110" s="1" t="s">
        <v>2</v>
      </c>
      <c r="E110" s="1" t="s">
        <v>8</v>
      </c>
      <c r="F110" s="1" t="s">
        <v>12</v>
      </c>
      <c r="G110" s="1" t="s">
        <v>5</v>
      </c>
      <c r="H110" s="1" t="s">
        <v>6</v>
      </c>
      <c r="I110" s="1" t="s">
        <v>7</v>
      </c>
    </row>
    <row r="111" spans="2:9" x14ac:dyDescent="0.25">
      <c r="B111" s="85" t="s">
        <v>260</v>
      </c>
      <c r="C111" s="12" t="s">
        <v>4</v>
      </c>
      <c r="D111" s="12">
        <v>10</v>
      </c>
      <c r="E111" s="12" t="s">
        <v>26</v>
      </c>
      <c r="F111" s="12" t="s">
        <v>261</v>
      </c>
      <c r="G111" s="19">
        <v>1000</v>
      </c>
      <c r="H111" s="20">
        <v>0.3</v>
      </c>
      <c r="I111" s="7">
        <f t="shared" ref="I111:I115" si="17">G111*H111</f>
        <v>300</v>
      </c>
    </row>
    <row r="112" spans="2:9" x14ac:dyDescent="0.25">
      <c r="B112" s="85" t="s">
        <v>259</v>
      </c>
      <c r="C112" s="12" t="s">
        <v>15</v>
      </c>
      <c r="D112" s="12">
        <v>15</v>
      </c>
      <c r="E112" s="12" t="s">
        <v>21</v>
      </c>
      <c r="F112" s="12">
        <v>3597530</v>
      </c>
      <c r="G112" s="19">
        <v>1000</v>
      </c>
      <c r="H112" s="20">
        <v>0.3</v>
      </c>
      <c r="I112" s="7">
        <f t="shared" si="17"/>
        <v>300</v>
      </c>
    </row>
    <row r="113" spans="2:10" x14ac:dyDescent="0.25">
      <c r="B113" s="85" t="s">
        <v>257</v>
      </c>
      <c r="C113" s="12" t="s">
        <v>19</v>
      </c>
      <c r="D113" s="12">
        <v>7</v>
      </c>
      <c r="E113" s="12" t="s">
        <v>83</v>
      </c>
      <c r="F113" s="12">
        <v>642</v>
      </c>
      <c r="G113" s="19">
        <v>1000</v>
      </c>
      <c r="H113" s="20">
        <v>0.3</v>
      </c>
      <c r="I113" s="7">
        <f t="shared" si="17"/>
        <v>300</v>
      </c>
    </row>
    <row r="114" spans="2:10" x14ac:dyDescent="0.25">
      <c r="B114" s="85" t="s">
        <v>257</v>
      </c>
      <c r="C114" s="12" t="s">
        <v>19</v>
      </c>
      <c r="D114" s="12">
        <v>7</v>
      </c>
      <c r="E114" s="12" t="s">
        <v>26</v>
      </c>
      <c r="F114" s="12" t="s">
        <v>258</v>
      </c>
      <c r="G114" s="19">
        <v>9000</v>
      </c>
      <c r="H114" s="20">
        <v>0.05</v>
      </c>
      <c r="I114" s="7">
        <f t="shared" si="17"/>
        <v>450</v>
      </c>
    </row>
    <row r="115" spans="2:10" x14ac:dyDescent="0.25">
      <c r="B115" s="85" t="s">
        <v>321</v>
      </c>
      <c r="C115" s="12" t="s">
        <v>16</v>
      </c>
      <c r="D115" s="12">
        <v>4</v>
      </c>
      <c r="E115" s="12" t="s">
        <v>26</v>
      </c>
      <c r="F115" s="12">
        <v>972087</v>
      </c>
      <c r="G115" s="19">
        <v>9000</v>
      </c>
      <c r="H115" s="20">
        <v>0.05</v>
      </c>
      <c r="I115" s="7">
        <f t="shared" si="17"/>
        <v>450</v>
      </c>
    </row>
    <row r="116" spans="2:10" x14ac:dyDescent="0.25">
      <c r="B116" s="114" t="s">
        <v>9</v>
      </c>
      <c r="C116" s="115"/>
      <c r="D116" s="115"/>
      <c r="E116" s="115"/>
      <c r="F116" s="115"/>
      <c r="G116" s="115"/>
      <c r="H116" s="116"/>
      <c r="I116" s="9">
        <f>SUM(I111:I115)</f>
        <v>1800</v>
      </c>
    </row>
    <row r="117" spans="2:10" x14ac:dyDescent="0.25">
      <c r="B117" s="72"/>
      <c r="C117" s="12"/>
      <c r="D117" s="12"/>
      <c r="E117" s="12"/>
      <c r="F117" s="12"/>
      <c r="G117" s="12"/>
      <c r="H117" s="12"/>
      <c r="I117" s="19"/>
    </row>
    <row r="118" spans="2:10" x14ac:dyDescent="0.25">
      <c r="B118" s="135" t="s">
        <v>220</v>
      </c>
      <c r="C118" s="136"/>
      <c r="D118" s="136"/>
      <c r="E118" s="136"/>
      <c r="F118" s="136"/>
      <c r="G118" s="136"/>
      <c r="H118" s="136"/>
      <c r="I118" s="137"/>
      <c r="J118" s="35">
        <f>SUM(I42+I98+I105+I116)</f>
        <v>5271.1360000000004</v>
      </c>
    </row>
    <row r="119" spans="2:10" x14ac:dyDescent="0.25">
      <c r="B119" s="86"/>
      <c r="C119" s="87"/>
      <c r="D119" s="87"/>
      <c r="E119" s="87"/>
      <c r="F119" s="87"/>
      <c r="G119" s="87"/>
      <c r="H119" s="87"/>
      <c r="I119" s="88"/>
      <c r="J119" s="71"/>
    </row>
    <row r="120" spans="2:10" x14ac:dyDescent="0.25">
      <c r="B120" s="118" t="s">
        <v>10</v>
      </c>
      <c r="C120" s="118"/>
      <c r="D120" s="118"/>
      <c r="E120" s="118"/>
      <c r="F120" s="118"/>
      <c r="G120" s="118"/>
      <c r="H120" s="118"/>
      <c r="I120" s="118"/>
    </row>
    <row r="121" spans="2:10" ht="45" x14ac:dyDescent="0.25">
      <c r="B121" s="1" t="s">
        <v>1</v>
      </c>
      <c r="C121" s="1" t="s">
        <v>3</v>
      </c>
      <c r="D121" s="1" t="s">
        <v>2</v>
      </c>
      <c r="E121" s="1" t="s">
        <v>8</v>
      </c>
      <c r="F121" s="1" t="s">
        <v>12</v>
      </c>
      <c r="G121" s="1" t="s">
        <v>5</v>
      </c>
      <c r="H121" s="1" t="s">
        <v>6</v>
      </c>
      <c r="I121" s="1" t="s">
        <v>7</v>
      </c>
    </row>
    <row r="122" spans="2:10" x14ac:dyDescent="0.25">
      <c r="B122" s="80" t="s">
        <v>127</v>
      </c>
      <c r="C122" s="4" t="s">
        <v>15</v>
      </c>
      <c r="D122" s="4">
        <v>21</v>
      </c>
      <c r="E122" s="4">
        <v>17</v>
      </c>
      <c r="F122" s="4">
        <v>385372</v>
      </c>
      <c r="G122" s="5">
        <v>993.75</v>
      </c>
      <c r="H122" s="3">
        <v>0.03</v>
      </c>
      <c r="I122" s="5">
        <f t="shared" ref="I122:I125" si="18">G122*H122</f>
        <v>29.8125</v>
      </c>
    </row>
    <row r="123" spans="2:10" x14ac:dyDescent="0.25">
      <c r="B123" s="80" t="s">
        <v>318</v>
      </c>
      <c r="C123" s="4" t="s">
        <v>4</v>
      </c>
      <c r="D123" s="4">
        <v>9</v>
      </c>
      <c r="E123" s="4">
        <v>21</v>
      </c>
      <c r="F123" s="4" t="s">
        <v>319</v>
      </c>
      <c r="G123" s="5">
        <v>1263</v>
      </c>
      <c r="H123" s="3">
        <v>0.05</v>
      </c>
      <c r="I123" s="5">
        <f t="shared" si="18"/>
        <v>63.150000000000006</v>
      </c>
    </row>
    <row r="124" spans="2:10" x14ac:dyDescent="0.25">
      <c r="B124" s="80" t="s">
        <v>318</v>
      </c>
      <c r="C124" s="4" t="s">
        <v>4</v>
      </c>
      <c r="D124" s="4">
        <v>9</v>
      </c>
      <c r="E124" s="4">
        <v>20</v>
      </c>
      <c r="F124" s="4" t="s">
        <v>320</v>
      </c>
      <c r="G124" s="5">
        <v>1263</v>
      </c>
      <c r="H124" s="3">
        <v>0.05</v>
      </c>
      <c r="I124" s="5">
        <f t="shared" si="18"/>
        <v>63.150000000000006</v>
      </c>
    </row>
    <row r="125" spans="2:10" x14ac:dyDescent="0.25">
      <c r="B125" s="2"/>
      <c r="C125" s="4"/>
      <c r="D125" s="4"/>
      <c r="E125" s="4"/>
      <c r="F125" s="4"/>
      <c r="G125" s="5"/>
      <c r="H125" s="3">
        <v>0.05</v>
      </c>
      <c r="I125" s="5">
        <f t="shared" si="18"/>
        <v>0</v>
      </c>
    </row>
    <row r="126" spans="2:10" x14ac:dyDescent="0.25">
      <c r="B126" s="114"/>
      <c r="C126" s="115"/>
      <c r="D126" s="115"/>
      <c r="E126" s="115"/>
      <c r="F126" s="115"/>
      <c r="G126" s="115"/>
      <c r="H126" s="116"/>
      <c r="I126" s="11">
        <f>SUM(I122:I125)</f>
        <v>156.11250000000001</v>
      </c>
    </row>
    <row r="129" spans="2:13" x14ac:dyDescent="0.25">
      <c r="B129" s="114" t="s">
        <v>9</v>
      </c>
      <c r="C129" s="115"/>
      <c r="D129" s="115"/>
      <c r="E129" s="115"/>
      <c r="F129" s="115"/>
      <c r="G129" s="115"/>
      <c r="H129" s="116"/>
      <c r="I129" s="9">
        <f>+I126</f>
        <v>156.11250000000001</v>
      </c>
      <c r="J129" s="35">
        <f>+I129</f>
        <v>156.11250000000001</v>
      </c>
    </row>
    <row r="130" spans="2:13" ht="15.75" thickBot="1" x14ac:dyDescent="0.3"/>
    <row r="131" spans="2:13" ht="15.75" thickBot="1" x14ac:dyDescent="0.3">
      <c r="J131" s="65">
        <f>SUM(J118+J129)</f>
        <v>5427.2485000000006</v>
      </c>
    </row>
    <row r="134" spans="2:13" x14ac:dyDescent="0.25">
      <c r="B134" s="118" t="s">
        <v>176</v>
      </c>
      <c r="C134" s="118"/>
      <c r="D134" s="118"/>
      <c r="E134" s="118"/>
      <c r="F134" s="118"/>
      <c r="G134" s="118"/>
      <c r="H134" s="118"/>
      <c r="I134" s="118"/>
    </row>
    <row r="135" spans="2:13" ht="45" x14ac:dyDescent="0.25">
      <c r="B135" s="1" t="s">
        <v>1</v>
      </c>
      <c r="C135" s="1" t="s">
        <v>3</v>
      </c>
      <c r="D135" s="1" t="s">
        <v>2</v>
      </c>
      <c r="E135" s="1" t="s">
        <v>8</v>
      </c>
      <c r="F135" s="1" t="s">
        <v>12</v>
      </c>
      <c r="G135" s="1" t="s">
        <v>5</v>
      </c>
      <c r="H135" s="1" t="s">
        <v>6</v>
      </c>
      <c r="I135" s="1" t="s">
        <v>7</v>
      </c>
    </row>
    <row r="136" spans="2:13" x14ac:dyDescent="0.25">
      <c r="B136" s="90" t="s">
        <v>182</v>
      </c>
      <c r="C136" s="91" t="s">
        <v>16</v>
      </c>
      <c r="D136" s="91">
        <v>3</v>
      </c>
      <c r="E136" s="91">
        <v>3</v>
      </c>
      <c r="F136" s="92">
        <v>1880</v>
      </c>
      <c r="G136" s="93">
        <v>767.67</v>
      </c>
      <c r="H136" s="94">
        <v>0.01</v>
      </c>
      <c r="I136" s="93">
        <f>G136*H136</f>
        <v>7.6766999999999994</v>
      </c>
      <c r="L136" s="138"/>
      <c r="M136" s="138"/>
    </row>
    <row r="138" spans="2:13" x14ac:dyDescent="0.25">
      <c r="J138" s="33">
        <f>SUM(J131+J136)</f>
        <v>5427.2485000000006</v>
      </c>
    </row>
    <row r="142" spans="2:13" x14ac:dyDescent="0.25">
      <c r="B142" s="32"/>
      <c r="C142" s="32"/>
      <c r="D142" s="32"/>
      <c r="E142" s="32"/>
      <c r="F142" s="32"/>
      <c r="G142" s="32"/>
      <c r="H142" s="32"/>
      <c r="I142" s="16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4" customFormat="1" x14ac:dyDescent="0.25"/>
  </sheetData>
  <autoFilter ref="B3:B131" xr:uid="{EC99337F-2FBA-4DE3-82F1-DE613B550E5E}"/>
  <mergeCells count="18">
    <mergeCell ref="L136:M136"/>
    <mergeCell ref="B118:I118"/>
    <mergeCell ref="B100:I100"/>
    <mergeCell ref="B116:H116"/>
    <mergeCell ref="B109:I109"/>
    <mergeCell ref="B108:I108"/>
    <mergeCell ref="B105:H105"/>
    <mergeCell ref="B101:I101"/>
    <mergeCell ref="B134:I134"/>
    <mergeCell ref="B120:I120"/>
    <mergeCell ref="B129:H129"/>
    <mergeCell ref="B126:H126"/>
    <mergeCell ref="B84:I84"/>
    <mergeCell ref="B98:H98"/>
    <mergeCell ref="B3:I3"/>
    <mergeCell ref="B4:I4"/>
    <mergeCell ref="B43:I43"/>
    <mergeCell ref="B83:I83"/>
  </mergeCells>
  <phoneticPr fontId="6" type="noConversion"/>
  <pageMargins left="1" right="1" top="1" bottom="1" header="0.5" footer="0.5"/>
  <pageSetup paperSize="9" scale="44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2D82-759D-4518-9D13-F7828270B053}">
  <dimension ref="A3:J135"/>
  <sheetViews>
    <sheetView topLeftCell="A37" workbookViewId="0">
      <selection activeCell="B101" sqref="B101:I106"/>
    </sheetView>
  </sheetViews>
  <sheetFormatPr baseColWidth="10" defaultRowHeight="15" x14ac:dyDescent="0.25"/>
  <cols>
    <col min="1" max="1" width="5.28515625" customWidth="1"/>
    <col min="2" max="2" width="35.85546875" customWidth="1"/>
    <col min="3" max="3" width="5.7109375" customWidth="1"/>
    <col min="4" max="4" width="7.140625" customWidth="1"/>
    <col min="5" max="5" width="14" customWidth="1"/>
    <col min="6" max="6" width="22.85546875" customWidth="1"/>
    <col min="7" max="7" width="13.7109375" customWidth="1"/>
    <col min="8" max="8" width="13.28515625" customWidth="1"/>
    <col min="9" max="9" width="16" customWidth="1"/>
    <col min="10" max="10" width="15.85546875" customWidth="1"/>
  </cols>
  <sheetData>
    <row r="3" spans="2:9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9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9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9" x14ac:dyDescent="0.25">
      <c r="B6" s="61" t="s">
        <v>104</v>
      </c>
      <c r="C6" s="2" t="s">
        <v>19</v>
      </c>
      <c r="D6" s="4">
        <v>15</v>
      </c>
      <c r="E6" s="6" t="s">
        <v>200</v>
      </c>
      <c r="F6" s="4">
        <v>3556</v>
      </c>
      <c r="G6" s="5">
        <v>1000</v>
      </c>
      <c r="H6" s="3">
        <v>0.05</v>
      </c>
      <c r="I6" s="5">
        <f t="shared" ref="I6:I35" si="0">G6*H6</f>
        <v>50</v>
      </c>
    </row>
    <row r="7" spans="2:9" x14ac:dyDescent="0.25">
      <c r="B7" s="61" t="s">
        <v>104</v>
      </c>
      <c r="C7" s="2" t="s">
        <v>19</v>
      </c>
      <c r="D7" s="4">
        <v>15</v>
      </c>
      <c r="E7" s="6" t="s">
        <v>200</v>
      </c>
      <c r="F7" s="4">
        <v>3550</v>
      </c>
      <c r="G7" s="5">
        <v>1000</v>
      </c>
      <c r="H7" s="3">
        <v>0.05</v>
      </c>
      <c r="I7" s="5">
        <f t="shared" si="0"/>
        <v>50</v>
      </c>
    </row>
    <row r="8" spans="2:9" x14ac:dyDescent="0.25">
      <c r="B8" s="61" t="s">
        <v>104</v>
      </c>
      <c r="C8" s="2" t="s">
        <v>19</v>
      </c>
      <c r="D8" s="4">
        <v>15</v>
      </c>
      <c r="E8" s="6" t="s">
        <v>200</v>
      </c>
      <c r="F8" s="4">
        <v>3553</v>
      </c>
      <c r="G8" s="5">
        <v>1000</v>
      </c>
      <c r="H8" s="3">
        <v>0.05</v>
      </c>
      <c r="I8" s="5">
        <f t="shared" si="0"/>
        <v>50</v>
      </c>
    </row>
    <row r="9" spans="2:9" x14ac:dyDescent="0.25">
      <c r="B9" s="61" t="s">
        <v>105</v>
      </c>
      <c r="C9" s="2" t="s">
        <v>20</v>
      </c>
      <c r="D9" s="4">
        <v>13</v>
      </c>
      <c r="E9" s="4">
        <v>5</v>
      </c>
      <c r="F9" s="4">
        <v>171</v>
      </c>
      <c r="G9" s="5">
        <v>2344</v>
      </c>
      <c r="H9" s="3">
        <v>0.05</v>
      </c>
      <c r="I9" s="5">
        <f t="shared" si="0"/>
        <v>117.2</v>
      </c>
    </row>
    <row r="10" spans="2:9" x14ac:dyDescent="0.25">
      <c r="B10" s="61" t="s">
        <v>106</v>
      </c>
      <c r="C10" s="2" t="s">
        <v>4</v>
      </c>
      <c r="D10" s="4">
        <v>1</v>
      </c>
      <c r="E10" s="6" t="s">
        <v>145</v>
      </c>
      <c r="F10" s="4">
        <v>3574</v>
      </c>
      <c r="G10" s="5">
        <v>1931.8</v>
      </c>
      <c r="H10" s="3">
        <v>0.05</v>
      </c>
      <c r="I10" s="5">
        <f t="shared" si="0"/>
        <v>96.59</v>
      </c>
    </row>
    <row r="11" spans="2:9" x14ac:dyDescent="0.25">
      <c r="B11" s="61" t="s">
        <v>109</v>
      </c>
      <c r="C11" s="2" t="s">
        <v>19</v>
      </c>
      <c r="D11" s="4">
        <v>31</v>
      </c>
      <c r="E11" s="4">
        <v>5</v>
      </c>
      <c r="F11" s="4">
        <v>3591</v>
      </c>
      <c r="G11" s="5">
        <v>969.6</v>
      </c>
      <c r="H11" s="3">
        <v>0.05</v>
      </c>
      <c r="I11" s="5">
        <f t="shared" si="0"/>
        <v>48.480000000000004</v>
      </c>
    </row>
    <row r="12" spans="2:9" x14ac:dyDescent="0.25">
      <c r="B12" s="61" t="s">
        <v>110</v>
      </c>
      <c r="C12" s="2" t="s">
        <v>19</v>
      </c>
      <c r="D12" s="4">
        <v>25</v>
      </c>
      <c r="E12" s="4">
        <v>12</v>
      </c>
      <c r="F12" s="4">
        <v>683</v>
      </c>
      <c r="G12" s="5">
        <v>1028.2</v>
      </c>
      <c r="H12" s="3">
        <v>0.05</v>
      </c>
      <c r="I12" s="5">
        <f t="shared" si="0"/>
        <v>51.410000000000004</v>
      </c>
    </row>
    <row r="13" spans="2:9" x14ac:dyDescent="0.25">
      <c r="B13" s="62" t="s">
        <v>112</v>
      </c>
      <c r="C13" s="2" t="s">
        <v>19</v>
      </c>
      <c r="D13" s="4">
        <v>9</v>
      </c>
      <c r="E13" s="4">
        <v>14</v>
      </c>
      <c r="F13" s="4">
        <v>89271</v>
      </c>
      <c r="G13" s="5">
        <v>761.5</v>
      </c>
      <c r="H13" s="3">
        <v>0.05</v>
      </c>
      <c r="I13" s="5">
        <f t="shared" si="0"/>
        <v>38.075000000000003</v>
      </c>
    </row>
    <row r="14" spans="2:9" x14ac:dyDescent="0.25">
      <c r="B14" s="62" t="s">
        <v>112</v>
      </c>
      <c r="C14" s="2" t="s">
        <v>19</v>
      </c>
      <c r="D14" s="4">
        <v>10</v>
      </c>
      <c r="E14" s="4">
        <v>13</v>
      </c>
      <c r="F14" s="4">
        <v>29311</v>
      </c>
      <c r="G14" s="5">
        <v>710.7</v>
      </c>
      <c r="H14" s="3">
        <v>0.05</v>
      </c>
      <c r="I14" s="5">
        <f t="shared" si="0"/>
        <v>35.535000000000004</v>
      </c>
    </row>
    <row r="15" spans="2:9" x14ac:dyDescent="0.25">
      <c r="B15" s="62" t="s">
        <v>113</v>
      </c>
      <c r="C15" s="2" t="s">
        <v>20</v>
      </c>
      <c r="D15" s="4">
        <v>8</v>
      </c>
      <c r="E15" s="4">
        <v>5</v>
      </c>
      <c r="F15" s="4">
        <v>281</v>
      </c>
      <c r="G15" s="5">
        <v>933</v>
      </c>
      <c r="H15" s="3">
        <v>0.05</v>
      </c>
      <c r="I15" s="5">
        <f t="shared" si="0"/>
        <v>46.650000000000006</v>
      </c>
    </row>
    <row r="16" spans="2:9" x14ac:dyDescent="0.25">
      <c r="B16" s="62" t="s">
        <v>114</v>
      </c>
      <c r="C16" s="2" t="s">
        <v>20</v>
      </c>
      <c r="D16" s="4">
        <v>6</v>
      </c>
      <c r="E16" s="4">
        <v>7</v>
      </c>
      <c r="F16" s="4">
        <v>1020975</v>
      </c>
      <c r="G16" s="5">
        <v>1432.02</v>
      </c>
      <c r="H16" s="3">
        <v>0.05</v>
      </c>
      <c r="I16" s="5">
        <f t="shared" si="0"/>
        <v>71.600999999999999</v>
      </c>
    </row>
    <row r="17" spans="2:9" x14ac:dyDescent="0.25">
      <c r="B17" s="61" t="s">
        <v>116</v>
      </c>
      <c r="C17" s="6" t="s">
        <v>203</v>
      </c>
      <c r="D17" s="6" t="s">
        <v>115</v>
      </c>
      <c r="E17" s="4">
        <v>12</v>
      </c>
      <c r="F17" s="4">
        <v>1097927</v>
      </c>
      <c r="G17" s="5">
        <v>2700</v>
      </c>
      <c r="H17" s="3">
        <v>0.05</v>
      </c>
      <c r="I17" s="5">
        <f t="shared" si="0"/>
        <v>135</v>
      </c>
    </row>
    <row r="18" spans="2:9" x14ac:dyDescent="0.25">
      <c r="B18" s="62" t="s">
        <v>117</v>
      </c>
      <c r="C18" s="2" t="s">
        <v>37</v>
      </c>
      <c r="D18" s="4">
        <v>8</v>
      </c>
      <c r="E18" s="4">
        <v>13</v>
      </c>
      <c r="F18" s="4">
        <v>4150588</v>
      </c>
      <c r="G18" s="5">
        <v>2583</v>
      </c>
      <c r="H18" s="3">
        <v>0.05</v>
      </c>
      <c r="I18" s="5">
        <f t="shared" si="0"/>
        <v>129.15</v>
      </c>
    </row>
    <row r="19" spans="2:9" x14ac:dyDescent="0.25">
      <c r="B19" s="61" t="s">
        <v>146</v>
      </c>
      <c r="C19" s="2" t="s">
        <v>17</v>
      </c>
      <c r="D19" s="4">
        <v>3</v>
      </c>
      <c r="E19" s="4">
        <v>12</v>
      </c>
      <c r="F19" s="4">
        <v>0</v>
      </c>
      <c r="G19" s="5">
        <v>870.2</v>
      </c>
      <c r="H19" s="3">
        <v>0.05</v>
      </c>
      <c r="I19" s="5">
        <f t="shared" si="0"/>
        <v>43.510000000000005</v>
      </c>
    </row>
    <row r="20" spans="2:9" x14ac:dyDescent="0.25">
      <c r="B20" s="62" t="s">
        <v>148</v>
      </c>
      <c r="C20" s="2" t="s">
        <v>18</v>
      </c>
      <c r="D20" s="4">
        <v>3</v>
      </c>
      <c r="E20" s="6" t="s">
        <v>88</v>
      </c>
      <c r="F20" s="4">
        <v>5722533</v>
      </c>
      <c r="G20" s="5">
        <v>658.5</v>
      </c>
      <c r="H20" s="3">
        <v>0.05</v>
      </c>
      <c r="I20" s="5">
        <f t="shared" si="0"/>
        <v>32.925000000000004</v>
      </c>
    </row>
    <row r="21" spans="2:9" x14ac:dyDescent="0.25">
      <c r="B21" s="62" t="s">
        <v>150</v>
      </c>
      <c r="C21" s="2" t="s">
        <v>15</v>
      </c>
      <c r="D21" s="4">
        <v>9</v>
      </c>
      <c r="E21" s="6" t="s">
        <v>205</v>
      </c>
      <c r="F21" s="4">
        <v>852388</v>
      </c>
      <c r="G21" s="5">
        <v>1163</v>
      </c>
      <c r="H21" s="3">
        <v>0.05</v>
      </c>
      <c r="I21" s="5">
        <f t="shared" si="0"/>
        <v>58.150000000000006</v>
      </c>
    </row>
    <row r="22" spans="2:9" x14ac:dyDescent="0.25">
      <c r="B22" s="62" t="s">
        <v>150</v>
      </c>
      <c r="C22" s="2" t="s">
        <v>15</v>
      </c>
      <c r="D22" s="4">
        <v>9</v>
      </c>
      <c r="E22" s="6" t="s">
        <v>206</v>
      </c>
      <c r="F22" s="4">
        <v>853742</v>
      </c>
      <c r="G22" s="5">
        <v>1163</v>
      </c>
      <c r="H22" s="3">
        <v>0.05</v>
      </c>
      <c r="I22" s="5">
        <f t="shared" si="0"/>
        <v>58.150000000000006</v>
      </c>
    </row>
    <row r="23" spans="2:9" x14ac:dyDescent="0.25">
      <c r="B23" s="62" t="s">
        <v>207</v>
      </c>
      <c r="C23" s="2" t="s">
        <v>15</v>
      </c>
      <c r="D23" s="4">
        <v>8</v>
      </c>
      <c r="E23" s="6" t="s">
        <v>151</v>
      </c>
      <c r="F23" s="4">
        <v>909490</v>
      </c>
      <c r="G23" s="5">
        <v>1163</v>
      </c>
      <c r="H23" s="3">
        <v>0.05</v>
      </c>
      <c r="I23" s="5">
        <f t="shared" si="0"/>
        <v>58.150000000000006</v>
      </c>
    </row>
    <row r="24" spans="2:9" x14ac:dyDescent="0.25">
      <c r="B24" s="62" t="s">
        <v>207</v>
      </c>
      <c r="C24" s="2" t="s">
        <v>15</v>
      </c>
      <c r="D24" s="4">
        <v>8</v>
      </c>
      <c r="E24" s="6" t="s">
        <v>205</v>
      </c>
      <c r="F24" s="4">
        <v>908520</v>
      </c>
      <c r="G24" s="5">
        <v>1163</v>
      </c>
      <c r="H24" s="3">
        <v>0.05</v>
      </c>
      <c r="I24" s="5">
        <f t="shared" si="0"/>
        <v>58.150000000000006</v>
      </c>
    </row>
    <row r="25" spans="2:9" x14ac:dyDescent="0.25">
      <c r="B25" s="62" t="s">
        <v>164</v>
      </c>
      <c r="C25" s="43" t="s">
        <v>19</v>
      </c>
      <c r="D25" s="44">
        <v>37</v>
      </c>
      <c r="E25" s="48" t="s">
        <v>88</v>
      </c>
      <c r="F25" s="44">
        <v>4154213</v>
      </c>
      <c r="G25" s="45">
        <v>1391.2</v>
      </c>
      <c r="H25" s="46">
        <v>0.05</v>
      </c>
      <c r="I25" s="5">
        <f t="shared" si="0"/>
        <v>69.56</v>
      </c>
    </row>
    <row r="26" spans="2:9" x14ac:dyDescent="0.25">
      <c r="B26" s="61" t="s">
        <v>166</v>
      </c>
      <c r="C26" s="43" t="s">
        <v>48</v>
      </c>
      <c r="D26" s="44">
        <v>6</v>
      </c>
      <c r="E26" s="48" t="s">
        <v>77</v>
      </c>
      <c r="F26" s="48" t="s">
        <v>204</v>
      </c>
      <c r="G26" s="45">
        <v>1258</v>
      </c>
      <c r="H26" s="46">
        <v>0.05</v>
      </c>
      <c r="I26" s="5">
        <f t="shared" si="0"/>
        <v>62.900000000000006</v>
      </c>
    </row>
    <row r="27" spans="2:9" x14ac:dyDescent="0.25">
      <c r="B27" s="62" t="s">
        <v>167</v>
      </c>
      <c r="C27" s="43" t="s">
        <v>19</v>
      </c>
      <c r="D27" s="44">
        <v>20</v>
      </c>
      <c r="E27" s="48" t="s">
        <v>115</v>
      </c>
      <c r="F27" s="48" t="s">
        <v>210</v>
      </c>
      <c r="G27" s="45">
        <v>887.8</v>
      </c>
      <c r="H27" s="46">
        <v>0.05</v>
      </c>
      <c r="I27" s="5">
        <f t="shared" si="0"/>
        <v>44.39</v>
      </c>
    </row>
    <row r="28" spans="2:9" x14ac:dyDescent="0.25">
      <c r="B28" s="61" t="s">
        <v>198</v>
      </c>
      <c r="C28" s="43" t="s">
        <v>111</v>
      </c>
      <c r="D28" s="44">
        <v>2</v>
      </c>
      <c r="E28" s="48" t="s">
        <v>169</v>
      </c>
      <c r="F28" s="48" t="s">
        <v>209</v>
      </c>
      <c r="G28" s="45">
        <v>830.7</v>
      </c>
      <c r="H28" s="46">
        <v>0.05</v>
      </c>
      <c r="I28" s="5">
        <f t="shared" si="0"/>
        <v>41.535000000000004</v>
      </c>
    </row>
    <row r="29" spans="2:9" x14ac:dyDescent="0.25">
      <c r="B29" s="61" t="s">
        <v>198</v>
      </c>
      <c r="C29" s="43" t="s">
        <v>111</v>
      </c>
      <c r="D29" s="44">
        <v>3</v>
      </c>
      <c r="E29" s="48" t="s">
        <v>178</v>
      </c>
      <c r="F29" s="48" t="s">
        <v>199</v>
      </c>
      <c r="G29" s="45">
        <v>1120.4000000000001</v>
      </c>
      <c r="H29" s="46">
        <v>0.05</v>
      </c>
      <c r="I29" s="5">
        <f t="shared" si="0"/>
        <v>56.02000000000001</v>
      </c>
    </row>
    <row r="30" spans="2:9" x14ac:dyDescent="0.25">
      <c r="B30" s="61" t="s">
        <v>196</v>
      </c>
      <c r="C30" s="43" t="s">
        <v>20</v>
      </c>
      <c r="D30" s="44">
        <v>1</v>
      </c>
      <c r="E30" s="44" t="s">
        <v>147</v>
      </c>
      <c r="F30" s="44">
        <v>2690876</v>
      </c>
      <c r="G30" s="45">
        <v>19700</v>
      </c>
      <c r="H30" s="46">
        <v>0.05</v>
      </c>
      <c r="I30" s="5">
        <f t="shared" si="0"/>
        <v>985</v>
      </c>
    </row>
    <row r="31" spans="2:9" x14ac:dyDescent="0.25">
      <c r="B31" s="61" t="s">
        <v>197</v>
      </c>
      <c r="C31" s="43" t="s">
        <v>111</v>
      </c>
      <c r="D31" s="44">
        <v>16</v>
      </c>
      <c r="E31" s="44">
        <v>2</v>
      </c>
      <c r="F31" s="44">
        <v>0</v>
      </c>
      <c r="G31" s="45">
        <v>800</v>
      </c>
      <c r="H31" s="46">
        <v>0.05</v>
      </c>
      <c r="I31" s="5">
        <f t="shared" si="0"/>
        <v>40</v>
      </c>
    </row>
    <row r="32" spans="2:9" x14ac:dyDescent="0.25">
      <c r="B32" s="61" t="s">
        <v>201</v>
      </c>
      <c r="C32" s="43" t="s">
        <v>29</v>
      </c>
      <c r="D32" s="44">
        <v>3</v>
      </c>
      <c r="E32" s="44">
        <v>5</v>
      </c>
      <c r="F32" s="44" t="s">
        <v>202</v>
      </c>
      <c r="G32" s="45">
        <v>941.6</v>
      </c>
      <c r="H32" s="46">
        <v>0.05</v>
      </c>
      <c r="I32" s="5">
        <f t="shared" si="0"/>
        <v>47.080000000000005</v>
      </c>
    </row>
    <row r="33" spans="1:9" x14ac:dyDescent="0.25">
      <c r="B33" s="61" t="s">
        <v>208</v>
      </c>
      <c r="C33" s="43" t="s">
        <v>20</v>
      </c>
      <c r="D33" s="44">
        <v>2</v>
      </c>
      <c r="E33" s="44">
        <v>1</v>
      </c>
      <c r="F33" s="44">
        <v>77</v>
      </c>
      <c r="G33" s="45">
        <v>10000</v>
      </c>
      <c r="H33" s="46">
        <v>0.05</v>
      </c>
      <c r="I33" s="5">
        <f t="shared" si="0"/>
        <v>500</v>
      </c>
    </row>
    <row r="34" spans="1:9" x14ac:dyDescent="0.25">
      <c r="B34" s="80" t="s">
        <v>264</v>
      </c>
      <c r="C34" s="43" t="s">
        <v>19</v>
      </c>
      <c r="D34" s="44">
        <v>8</v>
      </c>
      <c r="E34" s="44">
        <v>14</v>
      </c>
      <c r="F34" s="44" t="s">
        <v>265</v>
      </c>
      <c r="G34" s="45">
        <v>1000</v>
      </c>
      <c r="H34" s="46">
        <v>0.05</v>
      </c>
      <c r="I34" s="33">
        <f t="shared" si="0"/>
        <v>50</v>
      </c>
    </row>
    <row r="35" spans="1:9" x14ac:dyDescent="0.25">
      <c r="B35" s="80" t="s">
        <v>262</v>
      </c>
      <c r="C35" s="43" t="s">
        <v>263</v>
      </c>
      <c r="D35" s="44">
        <v>5</v>
      </c>
      <c r="E35" s="44" t="s">
        <v>21</v>
      </c>
      <c r="F35" s="44">
        <v>560</v>
      </c>
      <c r="G35" s="45">
        <v>1000</v>
      </c>
      <c r="H35" s="46">
        <v>0.3</v>
      </c>
      <c r="I35" s="33">
        <f t="shared" si="0"/>
        <v>300</v>
      </c>
    </row>
    <row r="36" spans="1:9" ht="15.75" thickBot="1" x14ac:dyDescent="0.3">
      <c r="B36" s="2"/>
      <c r="C36" s="43"/>
      <c r="D36" s="44"/>
      <c r="E36" s="44"/>
      <c r="F36" s="44"/>
      <c r="G36" s="45"/>
      <c r="H36" s="46"/>
      <c r="I36" s="47">
        <f>SUM(I6:I35)</f>
        <v>3425.2110000000002</v>
      </c>
    </row>
    <row r="37" spans="1:9" x14ac:dyDescent="0.25">
      <c r="B37" s="139" t="s">
        <v>156</v>
      </c>
      <c r="C37" s="140"/>
      <c r="D37" s="140"/>
      <c r="E37" s="140"/>
      <c r="F37" s="140"/>
      <c r="G37" s="140"/>
      <c r="H37" s="140"/>
      <c r="I37" s="141"/>
    </row>
    <row r="38" spans="1:9" x14ac:dyDescent="0.25">
      <c r="B38" s="62" t="s">
        <v>157</v>
      </c>
      <c r="C38" s="50" t="s">
        <v>16</v>
      </c>
      <c r="D38" s="50">
        <v>8</v>
      </c>
      <c r="E38" s="50">
        <v>6</v>
      </c>
      <c r="F38" s="51">
        <v>862134</v>
      </c>
      <c r="G38" s="52">
        <v>869.1</v>
      </c>
      <c r="H38" s="53">
        <v>0.01</v>
      </c>
      <c r="I38" s="52">
        <f>G38*H38</f>
        <v>8.6910000000000007</v>
      </c>
    </row>
    <row r="39" spans="1:9" x14ac:dyDescent="0.25">
      <c r="A39" t="s">
        <v>153</v>
      </c>
      <c r="B39" s="62" t="s">
        <v>157</v>
      </c>
      <c r="C39" s="50" t="s">
        <v>16</v>
      </c>
      <c r="D39" s="50">
        <v>8</v>
      </c>
      <c r="E39" s="50">
        <v>6</v>
      </c>
      <c r="F39" s="51">
        <v>862135</v>
      </c>
      <c r="G39" s="52">
        <v>869.1</v>
      </c>
      <c r="H39" s="53">
        <v>0.01</v>
      </c>
      <c r="I39" s="52">
        <f t="shared" ref="I39:I40" si="1">G39*H39</f>
        <v>8.6910000000000007</v>
      </c>
    </row>
    <row r="40" spans="1:9" x14ac:dyDescent="0.25">
      <c r="B40" s="62" t="s">
        <v>221</v>
      </c>
      <c r="C40" s="50" t="s">
        <v>37</v>
      </c>
      <c r="D40" s="50">
        <v>1</v>
      </c>
      <c r="E40" s="50">
        <v>3</v>
      </c>
      <c r="F40" s="51">
        <v>65521</v>
      </c>
      <c r="G40" s="52">
        <v>13000</v>
      </c>
      <c r="H40" s="53">
        <v>0.01</v>
      </c>
      <c r="I40" s="52">
        <f t="shared" si="1"/>
        <v>130</v>
      </c>
    </row>
    <row r="41" spans="1:9" s="66" customFormat="1" x14ac:dyDescent="0.25">
      <c r="B41" s="62" t="s">
        <v>158</v>
      </c>
      <c r="C41" s="67" t="s">
        <v>37</v>
      </c>
      <c r="D41" s="67">
        <v>1</v>
      </c>
      <c r="E41" s="67">
        <v>12</v>
      </c>
      <c r="F41" s="68">
        <v>63</v>
      </c>
      <c r="G41" s="69">
        <v>2345.6</v>
      </c>
      <c r="H41" s="70">
        <v>0.01</v>
      </c>
      <c r="I41" s="69">
        <f>G41*H41</f>
        <v>23.456</v>
      </c>
    </row>
    <row r="42" spans="1:9" x14ac:dyDescent="0.25">
      <c r="B42" s="62" t="s">
        <v>224</v>
      </c>
      <c r="C42" s="50" t="s">
        <v>17</v>
      </c>
      <c r="D42" s="50">
        <v>2</v>
      </c>
      <c r="E42" s="50">
        <v>1</v>
      </c>
      <c r="F42" s="51">
        <v>1419929</v>
      </c>
      <c r="G42" s="52">
        <v>625</v>
      </c>
      <c r="H42" s="53">
        <v>0.01</v>
      </c>
      <c r="I42" s="52">
        <f t="shared" ref="I42:I48" si="2">G42*H42</f>
        <v>6.25</v>
      </c>
    </row>
    <row r="43" spans="1:9" x14ac:dyDescent="0.25">
      <c r="B43" s="62" t="s">
        <v>225</v>
      </c>
      <c r="C43" s="50" t="s">
        <v>16</v>
      </c>
      <c r="D43" s="50">
        <v>8</v>
      </c>
      <c r="E43" s="50">
        <v>2</v>
      </c>
      <c r="F43" s="51" t="s">
        <v>226</v>
      </c>
      <c r="G43" s="52">
        <v>2000</v>
      </c>
      <c r="H43" s="53">
        <v>0.01</v>
      </c>
      <c r="I43" s="52">
        <f t="shared" si="2"/>
        <v>20</v>
      </c>
    </row>
    <row r="44" spans="1:9" x14ac:dyDescent="0.25">
      <c r="B44" s="62" t="s">
        <v>159</v>
      </c>
      <c r="C44" s="50" t="s">
        <v>37</v>
      </c>
      <c r="D44" s="50">
        <v>6</v>
      </c>
      <c r="E44" s="50">
        <v>2</v>
      </c>
      <c r="F44" s="51">
        <v>23825279</v>
      </c>
      <c r="G44" s="52">
        <v>1145.8</v>
      </c>
      <c r="H44" s="53">
        <v>0.01</v>
      </c>
      <c r="I44" s="52">
        <f t="shared" si="2"/>
        <v>11.458</v>
      </c>
    </row>
    <row r="45" spans="1:9" x14ac:dyDescent="0.25">
      <c r="B45" s="62" t="s">
        <v>160</v>
      </c>
      <c r="C45" s="50" t="s">
        <v>4</v>
      </c>
      <c r="D45" s="50">
        <v>27</v>
      </c>
      <c r="E45" s="50">
        <v>2</v>
      </c>
      <c r="F45" s="51">
        <v>587</v>
      </c>
      <c r="G45" s="52">
        <v>763.8</v>
      </c>
      <c r="H45" s="53">
        <v>0.01</v>
      </c>
      <c r="I45" s="52">
        <f t="shared" si="2"/>
        <v>7.6379999999999999</v>
      </c>
    </row>
    <row r="46" spans="1:9" x14ac:dyDescent="0.25">
      <c r="B46" s="62" t="s">
        <v>161</v>
      </c>
      <c r="C46" s="50" t="s">
        <v>17</v>
      </c>
      <c r="D46" s="50">
        <v>3</v>
      </c>
      <c r="E46" s="50">
        <v>1</v>
      </c>
      <c r="F46" s="51">
        <v>84</v>
      </c>
      <c r="G46" s="52">
        <v>625</v>
      </c>
      <c r="H46" s="53">
        <v>0.01</v>
      </c>
      <c r="I46" s="52">
        <f t="shared" si="2"/>
        <v>6.25</v>
      </c>
    </row>
    <row r="47" spans="1:9" x14ac:dyDescent="0.25">
      <c r="B47" s="62" t="s">
        <v>223</v>
      </c>
      <c r="C47" s="50" t="s">
        <v>4</v>
      </c>
      <c r="D47" s="50">
        <v>12</v>
      </c>
      <c r="E47" s="50" t="s">
        <v>24</v>
      </c>
      <c r="F47" s="51">
        <v>4595777</v>
      </c>
      <c r="G47" s="52">
        <v>9000</v>
      </c>
      <c r="H47" s="53">
        <v>0.01</v>
      </c>
      <c r="I47" s="52">
        <f t="shared" si="2"/>
        <v>90</v>
      </c>
    </row>
    <row r="48" spans="1:9" x14ac:dyDescent="0.25">
      <c r="B48" s="62" t="s">
        <v>222</v>
      </c>
      <c r="C48" s="50" t="s">
        <v>22</v>
      </c>
      <c r="D48" s="50">
        <v>13</v>
      </c>
      <c r="E48" s="50">
        <v>1</v>
      </c>
      <c r="F48" s="51">
        <v>12</v>
      </c>
      <c r="G48" s="52">
        <v>791.7</v>
      </c>
      <c r="H48" s="53">
        <v>0.01</v>
      </c>
      <c r="I48" s="52">
        <f t="shared" si="2"/>
        <v>7.9170000000000007</v>
      </c>
    </row>
    <row r="49" spans="2:9" x14ac:dyDescent="0.25">
      <c r="B49" s="62" t="s">
        <v>162</v>
      </c>
      <c r="C49" s="50" t="s">
        <v>37</v>
      </c>
      <c r="D49" s="50">
        <v>6</v>
      </c>
      <c r="E49" s="50">
        <v>1</v>
      </c>
      <c r="F49" s="51">
        <v>3567</v>
      </c>
      <c r="G49" s="52">
        <v>834</v>
      </c>
      <c r="H49" s="53">
        <v>0.01</v>
      </c>
      <c r="I49" s="52">
        <f>G49*H49</f>
        <v>8.34</v>
      </c>
    </row>
    <row r="50" spans="2:9" x14ac:dyDescent="0.25">
      <c r="B50" s="62" t="s">
        <v>163</v>
      </c>
      <c r="C50" s="50" t="s">
        <v>22</v>
      </c>
      <c r="D50" s="50">
        <v>12</v>
      </c>
      <c r="E50" s="50">
        <v>1</v>
      </c>
      <c r="F50" s="51">
        <v>0</v>
      </c>
      <c r="G50" s="52">
        <v>791.7</v>
      </c>
      <c r="H50" s="53">
        <v>0.01</v>
      </c>
      <c r="I50" s="52">
        <f t="shared" ref="I50:I52" si="3">G50*H50</f>
        <v>7.9170000000000007</v>
      </c>
    </row>
    <row r="51" spans="2:9" x14ac:dyDescent="0.25">
      <c r="B51" s="63" t="s">
        <v>168</v>
      </c>
      <c r="C51" s="50" t="s">
        <v>62</v>
      </c>
      <c r="D51" s="50">
        <v>10</v>
      </c>
      <c r="E51" s="50">
        <v>1</v>
      </c>
      <c r="F51" s="51">
        <v>23378899</v>
      </c>
      <c r="G51" s="52">
        <v>759.3</v>
      </c>
      <c r="H51" s="53">
        <v>0.01</v>
      </c>
      <c r="I51" s="52">
        <f t="shared" si="3"/>
        <v>7.593</v>
      </c>
    </row>
    <row r="52" spans="2:9" x14ac:dyDescent="0.25">
      <c r="B52" s="17"/>
      <c r="C52" s="2"/>
      <c r="D52" s="4"/>
      <c r="E52" s="4"/>
      <c r="F52" s="4"/>
      <c r="G52" s="5"/>
      <c r="H52" s="3"/>
      <c r="I52" s="5">
        <f t="shared" si="3"/>
        <v>0</v>
      </c>
    </row>
    <row r="53" spans="2:9" x14ac:dyDescent="0.25">
      <c r="B53" s="114" t="s">
        <v>9</v>
      </c>
      <c r="C53" s="115"/>
      <c r="D53" s="115"/>
      <c r="E53" s="115"/>
      <c r="F53" s="115"/>
      <c r="G53" s="115"/>
      <c r="H53" s="116"/>
      <c r="I53" s="9">
        <f>SUM(I38:I52)</f>
        <v>344.20099999999991</v>
      </c>
    </row>
    <row r="55" spans="2:9" x14ac:dyDescent="0.25">
      <c r="B55" s="117" t="s">
        <v>0</v>
      </c>
      <c r="C55" s="117"/>
      <c r="D55" s="117"/>
      <c r="E55" s="117"/>
      <c r="F55" s="117"/>
      <c r="G55" s="117"/>
      <c r="H55" s="117"/>
      <c r="I55" s="117"/>
    </row>
    <row r="56" spans="2:9" x14ac:dyDescent="0.25">
      <c r="B56" s="118" t="s">
        <v>93</v>
      </c>
      <c r="C56" s="118"/>
      <c r="D56" s="118"/>
      <c r="E56" s="118"/>
      <c r="F56" s="118"/>
      <c r="G56" s="118"/>
      <c r="H56" s="118"/>
      <c r="I56" s="118"/>
    </row>
    <row r="57" spans="2:9" ht="45" x14ac:dyDescent="0.25">
      <c r="B57" s="1" t="s">
        <v>1</v>
      </c>
      <c r="C57" s="1" t="s">
        <v>3</v>
      </c>
      <c r="D57" s="1" t="s">
        <v>2</v>
      </c>
      <c r="E57" s="1" t="s">
        <v>8</v>
      </c>
      <c r="F57" s="1" t="s">
        <v>12</v>
      </c>
      <c r="G57" s="1" t="s">
        <v>5</v>
      </c>
      <c r="H57" s="1" t="s">
        <v>6</v>
      </c>
      <c r="I57" s="1" t="s">
        <v>7</v>
      </c>
    </row>
    <row r="58" spans="2:9" x14ac:dyDescent="0.25">
      <c r="B58" s="64" t="s">
        <v>121</v>
      </c>
      <c r="C58" s="4" t="s">
        <v>22</v>
      </c>
      <c r="D58" s="4">
        <v>11</v>
      </c>
      <c r="E58" s="4">
        <v>2</v>
      </c>
      <c r="F58" s="4" t="s">
        <v>216</v>
      </c>
      <c r="G58" s="5">
        <v>833.3</v>
      </c>
      <c r="H58" s="3">
        <v>0.05</v>
      </c>
      <c r="I58" s="5">
        <f t="shared" ref="I58:I69" si="4">G58*H58</f>
        <v>41.664999999999999</v>
      </c>
    </row>
    <row r="59" spans="2:9" x14ac:dyDescent="0.25">
      <c r="B59" s="64" t="s">
        <v>122</v>
      </c>
      <c r="C59" s="4" t="s">
        <v>16</v>
      </c>
      <c r="D59" s="4">
        <v>4</v>
      </c>
      <c r="E59" s="4">
        <v>1</v>
      </c>
      <c r="F59" s="4">
        <v>25019</v>
      </c>
      <c r="G59" s="5">
        <v>834</v>
      </c>
      <c r="H59" s="3">
        <v>0.05</v>
      </c>
      <c r="I59" s="5">
        <f t="shared" si="4"/>
        <v>41.7</v>
      </c>
    </row>
    <row r="60" spans="2:9" x14ac:dyDescent="0.25">
      <c r="B60" s="64" t="s">
        <v>123</v>
      </c>
      <c r="C60" s="4" t="s">
        <v>48</v>
      </c>
      <c r="D60" s="4">
        <v>5</v>
      </c>
      <c r="E60" s="4">
        <v>1</v>
      </c>
      <c r="F60" s="4">
        <v>3158141</v>
      </c>
      <c r="G60" s="5">
        <v>805</v>
      </c>
      <c r="H60" s="3">
        <v>0.05</v>
      </c>
      <c r="I60" s="5">
        <f t="shared" si="4"/>
        <v>40.25</v>
      </c>
    </row>
    <row r="61" spans="2:9" x14ac:dyDescent="0.25">
      <c r="B61" s="64" t="s">
        <v>118</v>
      </c>
      <c r="C61" s="4" t="s">
        <v>48</v>
      </c>
      <c r="D61" s="4">
        <v>6</v>
      </c>
      <c r="E61" s="4">
        <v>2</v>
      </c>
      <c r="F61" s="4">
        <v>0</v>
      </c>
      <c r="G61" s="5">
        <v>834</v>
      </c>
      <c r="H61" s="3">
        <v>0.05</v>
      </c>
      <c r="I61" s="5">
        <f t="shared" si="4"/>
        <v>41.7</v>
      </c>
    </row>
    <row r="62" spans="2:9" x14ac:dyDescent="0.25">
      <c r="B62" s="64" t="s">
        <v>119</v>
      </c>
      <c r="C62" s="4" t="s">
        <v>48</v>
      </c>
      <c r="D62" s="4">
        <v>4</v>
      </c>
      <c r="E62" s="4">
        <v>2</v>
      </c>
      <c r="F62" s="4" t="s">
        <v>214</v>
      </c>
      <c r="G62" s="5">
        <v>805</v>
      </c>
      <c r="H62" s="3">
        <v>0.05</v>
      </c>
      <c r="I62" s="5">
        <f t="shared" si="4"/>
        <v>40.25</v>
      </c>
    </row>
    <row r="63" spans="2:9" x14ac:dyDescent="0.25">
      <c r="B63" s="64" t="s">
        <v>124</v>
      </c>
      <c r="C63" s="4" t="s">
        <v>22</v>
      </c>
      <c r="D63" s="6" t="s">
        <v>213</v>
      </c>
      <c r="E63" s="4">
        <v>1</v>
      </c>
      <c r="F63" s="4">
        <v>593</v>
      </c>
      <c r="G63" s="5">
        <v>1583.3</v>
      </c>
      <c r="H63" s="3">
        <v>0.05</v>
      </c>
      <c r="I63" s="5">
        <f t="shared" si="4"/>
        <v>79.165000000000006</v>
      </c>
    </row>
    <row r="64" spans="2:9" x14ac:dyDescent="0.25">
      <c r="B64" s="64" t="s">
        <v>125</v>
      </c>
      <c r="C64" s="4" t="s">
        <v>22</v>
      </c>
      <c r="D64" s="4">
        <v>14</v>
      </c>
      <c r="E64" s="4">
        <v>2</v>
      </c>
      <c r="F64" s="4">
        <v>8236</v>
      </c>
      <c r="G64" s="5">
        <v>810</v>
      </c>
      <c r="H64" s="3">
        <v>0.05</v>
      </c>
      <c r="I64" s="5">
        <f t="shared" si="4"/>
        <v>40.5</v>
      </c>
    </row>
    <row r="65" spans="2:9" x14ac:dyDescent="0.25">
      <c r="B65" s="62" t="s">
        <v>125</v>
      </c>
      <c r="C65" s="4" t="s">
        <v>19</v>
      </c>
      <c r="D65" s="4">
        <v>2</v>
      </c>
      <c r="E65" s="4" t="s">
        <v>21</v>
      </c>
      <c r="F65" s="4" t="s">
        <v>212</v>
      </c>
      <c r="G65" s="5">
        <v>1000</v>
      </c>
      <c r="H65" s="3">
        <v>0.3</v>
      </c>
      <c r="I65" s="5">
        <f t="shared" si="4"/>
        <v>300</v>
      </c>
    </row>
    <row r="66" spans="2:9" x14ac:dyDescent="0.25">
      <c r="B66" s="64" t="s">
        <v>126</v>
      </c>
      <c r="C66" s="4" t="s">
        <v>15</v>
      </c>
      <c r="D66" s="4">
        <v>2</v>
      </c>
      <c r="E66" s="4">
        <v>1</v>
      </c>
      <c r="F66" s="4" t="s">
        <v>215</v>
      </c>
      <c r="G66" s="5">
        <v>819.5</v>
      </c>
      <c r="H66" s="3">
        <v>0.05</v>
      </c>
      <c r="I66" s="5">
        <f t="shared" si="4"/>
        <v>40.975000000000001</v>
      </c>
    </row>
    <row r="67" spans="2:9" x14ac:dyDescent="0.25">
      <c r="B67" s="64" t="s">
        <v>120</v>
      </c>
      <c r="C67" s="4" t="s">
        <v>37</v>
      </c>
      <c r="D67" s="4">
        <v>5</v>
      </c>
      <c r="E67" s="4">
        <v>2</v>
      </c>
      <c r="F67" s="4">
        <v>477183</v>
      </c>
      <c r="G67" s="5">
        <v>833.3</v>
      </c>
      <c r="H67" s="3">
        <v>0.05</v>
      </c>
      <c r="I67" s="5">
        <f t="shared" si="4"/>
        <v>41.664999999999999</v>
      </c>
    </row>
    <row r="68" spans="2:9" x14ac:dyDescent="0.25">
      <c r="B68" s="64" t="s">
        <v>154</v>
      </c>
      <c r="C68" s="4" t="s">
        <v>37</v>
      </c>
      <c r="D68" s="4">
        <v>4</v>
      </c>
      <c r="E68" s="4">
        <v>1</v>
      </c>
      <c r="F68" s="4">
        <v>0</v>
      </c>
      <c r="G68" s="5">
        <v>805.5</v>
      </c>
      <c r="H68" s="3">
        <v>0.05</v>
      </c>
      <c r="I68" s="5">
        <f t="shared" si="4"/>
        <v>40.275000000000006</v>
      </c>
    </row>
    <row r="69" spans="2:9" x14ac:dyDescent="0.25">
      <c r="B69" s="63" t="s">
        <v>155</v>
      </c>
      <c r="C69" s="12" t="s">
        <v>22</v>
      </c>
      <c r="D69" s="12">
        <v>3</v>
      </c>
      <c r="E69" s="12" t="s">
        <v>26</v>
      </c>
      <c r="F69" s="12" t="s">
        <v>211</v>
      </c>
      <c r="G69" s="19">
        <v>4000</v>
      </c>
      <c r="H69" s="20">
        <v>0.05</v>
      </c>
      <c r="I69" s="7">
        <f t="shared" si="4"/>
        <v>200</v>
      </c>
    </row>
    <row r="70" spans="2:9" x14ac:dyDescent="0.25">
      <c r="B70" s="114" t="s">
        <v>9</v>
      </c>
      <c r="C70" s="115"/>
      <c r="D70" s="115"/>
      <c r="E70" s="115"/>
      <c r="F70" s="115"/>
      <c r="G70" s="115"/>
      <c r="H70" s="116"/>
      <c r="I70" s="9">
        <f>SUM(I58:I69)</f>
        <v>948.14499999999998</v>
      </c>
    </row>
    <row r="71" spans="2:9" x14ac:dyDescent="0.25">
      <c r="B71" s="2"/>
      <c r="C71" s="4"/>
      <c r="D71" s="4"/>
      <c r="E71" s="4"/>
      <c r="F71" s="4"/>
      <c r="G71" s="5"/>
      <c r="H71" s="3"/>
      <c r="I71" s="5"/>
    </row>
    <row r="72" spans="2:9" x14ac:dyDescent="0.25">
      <c r="B72" s="135" t="s">
        <v>0</v>
      </c>
      <c r="C72" s="136"/>
      <c r="D72" s="136"/>
      <c r="E72" s="136"/>
      <c r="F72" s="136"/>
      <c r="G72" s="136"/>
      <c r="H72" s="136"/>
      <c r="I72" s="137"/>
    </row>
    <row r="73" spans="2:9" x14ac:dyDescent="0.25">
      <c r="B73" s="127" t="s">
        <v>28</v>
      </c>
      <c r="C73" s="128"/>
      <c r="D73" s="128"/>
      <c r="E73" s="128"/>
      <c r="F73" s="128"/>
      <c r="G73" s="128"/>
      <c r="H73" s="128"/>
      <c r="I73" s="129"/>
    </row>
    <row r="74" spans="2:9" ht="45" x14ac:dyDescent="0.25">
      <c r="B74" s="1" t="s">
        <v>1</v>
      </c>
      <c r="C74" s="1" t="s">
        <v>3</v>
      </c>
      <c r="D74" s="1" t="s">
        <v>2</v>
      </c>
      <c r="E74" s="1" t="s">
        <v>8</v>
      </c>
      <c r="F74" s="1" t="s">
        <v>12</v>
      </c>
      <c r="G74" s="1" t="s">
        <v>5</v>
      </c>
      <c r="H74" s="1" t="s">
        <v>6</v>
      </c>
      <c r="I74" s="1" t="s">
        <v>7</v>
      </c>
    </row>
    <row r="75" spans="2:9" x14ac:dyDescent="0.25">
      <c r="B75" s="1"/>
      <c r="C75" s="1"/>
      <c r="D75" s="1"/>
      <c r="E75" s="1"/>
      <c r="F75" s="1"/>
      <c r="G75" s="1"/>
      <c r="H75" s="1"/>
      <c r="I75" s="1"/>
    </row>
    <row r="76" spans="2:9" x14ac:dyDescent="0.25">
      <c r="B76" s="2"/>
      <c r="C76" s="4"/>
      <c r="D76" s="4"/>
      <c r="E76" s="4"/>
      <c r="F76" s="4"/>
      <c r="G76" s="5"/>
      <c r="H76" s="3">
        <v>0.05</v>
      </c>
      <c r="I76" s="5">
        <f t="shared" ref="I76" si="5">G76*H76</f>
        <v>0</v>
      </c>
    </row>
    <row r="77" spans="2:9" x14ac:dyDescent="0.25">
      <c r="B77" s="114" t="s">
        <v>9</v>
      </c>
      <c r="C77" s="115"/>
      <c r="D77" s="115"/>
      <c r="E77" s="115"/>
      <c r="F77" s="115"/>
      <c r="G77" s="115"/>
      <c r="H77" s="116"/>
      <c r="I77" s="9">
        <f>SUM(I76:I76)</f>
        <v>0</v>
      </c>
    </row>
    <row r="80" spans="2:9" x14ac:dyDescent="0.25">
      <c r="B80" s="135" t="s">
        <v>0</v>
      </c>
      <c r="C80" s="136"/>
      <c r="D80" s="136"/>
      <c r="E80" s="136"/>
      <c r="F80" s="136"/>
      <c r="G80" s="136"/>
      <c r="H80" s="136"/>
      <c r="I80" s="137"/>
    </row>
    <row r="81" spans="2:9" x14ac:dyDescent="0.25">
      <c r="B81" s="127" t="s">
        <v>190</v>
      </c>
      <c r="C81" s="128"/>
      <c r="D81" s="128"/>
      <c r="E81" s="128"/>
      <c r="F81" s="128"/>
      <c r="G81" s="128"/>
      <c r="H81" s="128"/>
      <c r="I81" s="129"/>
    </row>
    <row r="82" spans="2:9" ht="45" x14ac:dyDescent="0.25">
      <c r="B82" s="1" t="s">
        <v>1</v>
      </c>
      <c r="C82" s="1" t="s">
        <v>3</v>
      </c>
      <c r="D82" s="1" t="s">
        <v>2</v>
      </c>
      <c r="E82" s="1" t="s">
        <v>8</v>
      </c>
      <c r="F82" s="1" t="s">
        <v>12</v>
      </c>
      <c r="G82" s="1" t="s">
        <v>5</v>
      </c>
      <c r="H82" s="1" t="s">
        <v>6</v>
      </c>
      <c r="I82" s="1" t="s">
        <v>7</v>
      </c>
    </row>
    <row r="83" spans="2:9" x14ac:dyDescent="0.25">
      <c r="B83" s="85" t="s">
        <v>260</v>
      </c>
      <c r="C83" s="12" t="s">
        <v>4</v>
      </c>
      <c r="D83" s="12">
        <v>10</v>
      </c>
      <c r="E83" s="12" t="s">
        <v>26</v>
      </c>
      <c r="F83" s="12" t="s">
        <v>261</v>
      </c>
      <c r="G83" s="19">
        <v>1000</v>
      </c>
      <c r="H83" s="20">
        <v>0.3</v>
      </c>
      <c r="I83" s="7">
        <f t="shared" ref="I83:I86" si="6">G83*H83</f>
        <v>300</v>
      </c>
    </row>
    <row r="84" spans="2:9" x14ac:dyDescent="0.25">
      <c r="B84" s="85" t="s">
        <v>259</v>
      </c>
      <c r="C84" s="12" t="s">
        <v>15</v>
      </c>
      <c r="D84" s="12">
        <v>15</v>
      </c>
      <c r="E84" s="12" t="s">
        <v>21</v>
      </c>
      <c r="F84" s="12">
        <v>3597530</v>
      </c>
      <c r="G84" s="19">
        <v>1000</v>
      </c>
      <c r="H84" s="20">
        <v>0.3</v>
      </c>
      <c r="I84" s="7">
        <f t="shared" si="6"/>
        <v>300</v>
      </c>
    </row>
    <row r="85" spans="2:9" x14ac:dyDescent="0.25">
      <c r="B85" s="85" t="s">
        <v>257</v>
      </c>
      <c r="C85" s="12" t="s">
        <v>19</v>
      </c>
      <c r="D85" s="12">
        <v>7</v>
      </c>
      <c r="E85" s="12" t="s">
        <v>83</v>
      </c>
      <c r="F85" s="12">
        <v>642</v>
      </c>
      <c r="G85" s="19">
        <v>1000</v>
      </c>
      <c r="H85" s="20">
        <v>0.3</v>
      </c>
      <c r="I85" s="7">
        <f t="shared" si="6"/>
        <v>300</v>
      </c>
    </row>
    <row r="86" spans="2:9" x14ac:dyDescent="0.25">
      <c r="B86" s="85" t="s">
        <v>257</v>
      </c>
      <c r="C86" s="12" t="s">
        <v>19</v>
      </c>
      <c r="D86" s="12">
        <v>7</v>
      </c>
      <c r="E86" s="12" t="s">
        <v>26</v>
      </c>
      <c r="F86" s="12" t="s">
        <v>258</v>
      </c>
      <c r="G86" s="19">
        <v>9000</v>
      </c>
      <c r="H86" s="20">
        <v>0.05</v>
      </c>
      <c r="I86" s="7">
        <f t="shared" si="6"/>
        <v>450</v>
      </c>
    </row>
    <row r="87" spans="2:9" x14ac:dyDescent="0.25">
      <c r="B87" s="114" t="s">
        <v>9</v>
      </c>
      <c r="C87" s="115"/>
      <c r="D87" s="115"/>
      <c r="E87" s="115"/>
      <c r="F87" s="115"/>
      <c r="G87" s="115"/>
      <c r="H87" s="116"/>
      <c r="I87" s="9">
        <f>SUM(I83:I86)</f>
        <v>1350</v>
      </c>
    </row>
    <row r="88" spans="2:9" x14ac:dyDescent="0.25">
      <c r="B88" s="72"/>
      <c r="C88" s="12"/>
      <c r="D88" s="12"/>
      <c r="E88" s="12"/>
      <c r="F88" s="12"/>
      <c r="G88" s="12"/>
      <c r="H88" s="12"/>
      <c r="I88" s="19"/>
    </row>
    <row r="89" spans="2:9" x14ac:dyDescent="0.25">
      <c r="B89" s="135" t="s">
        <v>0</v>
      </c>
      <c r="C89" s="136"/>
      <c r="D89" s="136"/>
      <c r="E89" s="136"/>
      <c r="F89" s="136"/>
      <c r="G89" s="136"/>
      <c r="H89" s="136"/>
      <c r="I89" s="137"/>
    </row>
    <row r="90" spans="2:9" x14ac:dyDescent="0.25">
      <c r="B90" s="118" t="s">
        <v>176</v>
      </c>
      <c r="C90" s="118"/>
      <c r="D90" s="118"/>
      <c r="E90" s="118"/>
      <c r="F90" s="118"/>
      <c r="G90" s="118"/>
      <c r="H90" s="118"/>
      <c r="I90" s="118"/>
    </row>
    <row r="91" spans="2:9" ht="45" x14ac:dyDescent="0.25">
      <c r="B91" s="1" t="s">
        <v>1</v>
      </c>
      <c r="C91" s="1" t="s">
        <v>3</v>
      </c>
      <c r="D91" s="1" t="s">
        <v>2</v>
      </c>
      <c r="E91" s="1" t="s">
        <v>8</v>
      </c>
      <c r="F91" s="1" t="s">
        <v>12</v>
      </c>
      <c r="G91" s="1" t="s">
        <v>5</v>
      </c>
      <c r="H91" s="1" t="s">
        <v>6</v>
      </c>
      <c r="I91" s="1" t="s">
        <v>7</v>
      </c>
    </row>
    <row r="92" spans="2:9" x14ac:dyDescent="0.25">
      <c r="B92" s="42" t="s">
        <v>179</v>
      </c>
      <c r="C92" s="4" t="s">
        <v>15</v>
      </c>
      <c r="D92" s="4">
        <v>1</v>
      </c>
      <c r="E92" s="4">
        <v>1</v>
      </c>
      <c r="F92" s="4">
        <v>51</v>
      </c>
      <c r="G92" s="5">
        <v>18535</v>
      </c>
      <c r="H92" s="3">
        <v>0.01</v>
      </c>
      <c r="I92" s="5">
        <f t="shared" ref="I92:I99" si="7">G92*H92</f>
        <v>185.35</v>
      </c>
    </row>
    <row r="93" spans="2:9" x14ac:dyDescent="0.25">
      <c r="B93" s="42" t="s">
        <v>180</v>
      </c>
      <c r="C93" s="4" t="s">
        <v>15</v>
      </c>
      <c r="D93" s="4">
        <v>2</v>
      </c>
      <c r="E93" s="4" t="s">
        <v>26</v>
      </c>
      <c r="F93" s="4">
        <v>53</v>
      </c>
      <c r="G93" s="5">
        <v>9000</v>
      </c>
      <c r="H93" s="3">
        <v>0.01</v>
      </c>
      <c r="I93" s="5">
        <f t="shared" si="7"/>
        <v>90</v>
      </c>
    </row>
    <row r="94" spans="2:9" x14ac:dyDescent="0.25">
      <c r="B94" s="42" t="s">
        <v>180</v>
      </c>
      <c r="C94" s="4" t="s">
        <v>15</v>
      </c>
      <c r="D94" s="4">
        <v>2</v>
      </c>
      <c r="E94" s="4" t="s">
        <v>26</v>
      </c>
      <c r="F94" s="4">
        <v>4</v>
      </c>
      <c r="G94" s="5">
        <v>816.6</v>
      </c>
      <c r="H94" s="3">
        <v>0.01</v>
      </c>
      <c r="I94" s="5">
        <f t="shared" si="7"/>
        <v>8.1660000000000004</v>
      </c>
    </row>
    <row r="95" spans="2:9" x14ac:dyDescent="0.25">
      <c r="B95" s="42" t="s">
        <v>181</v>
      </c>
      <c r="C95" s="4" t="s">
        <v>15</v>
      </c>
      <c r="D95" s="4">
        <v>6</v>
      </c>
      <c r="E95" s="4">
        <v>1</v>
      </c>
      <c r="F95" s="4">
        <v>55</v>
      </c>
      <c r="G95" s="5">
        <v>9000</v>
      </c>
      <c r="H95" s="3">
        <v>0.01</v>
      </c>
      <c r="I95" s="5">
        <f t="shared" si="7"/>
        <v>90</v>
      </c>
    </row>
    <row r="96" spans="2:9" x14ac:dyDescent="0.25">
      <c r="B96" s="42" t="s">
        <v>181</v>
      </c>
      <c r="C96" s="4" t="s">
        <v>15</v>
      </c>
      <c r="D96" s="4">
        <v>6</v>
      </c>
      <c r="E96" s="4">
        <v>1</v>
      </c>
      <c r="F96" s="4">
        <v>3</v>
      </c>
      <c r="G96" s="5">
        <v>866.6</v>
      </c>
      <c r="H96" s="3">
        <v>0.01</v>
      </c>
      <c r="I96" s="5">
        <f t="shared" si="7"/>
        <v>8.6660000000000004</v>
      </c>
    </row>
    <row r="97" spans="2:10" x14ac:dyDescent="0.25">
      <c r="B97" s="42" t="s">
        <v>181</v>
      </c>
      <c r="C97" s="4" t="s">
        <v>15</v>
      </c>
      <c r="D97" s="4">
        <v>3</v>
      </c>
      <c r="E97" s="4">
        <v>1</v>
      </c>
      <c r="F97" s="4">
        <v>54</v>
      </c>
      <c r="G97" s="5">
        <v>18300</v>
      </c>
      <c r="H97" s="3">
        <v>0.01</v>
      </c>
      <c r="I97" s="5">
        <f t="shared" si="7"/>
        <v>183</v>
      </c>
    </row>
    <row r="98" spans="2:10" x14ac:dyDescent="0.25">
      <c r="B98" s="42" t="s">
        <v>182</v>
      </c>
      <c r="C98" s="4" t="s">
        <v>16</v>
      </c>
      <c r="D98" s="4">
        <v>3</v>
      </c>
      <c r="E98" s="4" t="s">
        <v>26</v>
      </c>
      <c r="F98" s="4">
        <v>56</v>
      </c>
      <c r="G98" s="5">
        <v>9000</v>
      </c>
      <c r="H98" s="3">
        <v>0.01</v>
      </c>
      <c r="I98" s="5">
        <f t="shared" si="7"/>
        <v>90</v>
      </c>
    </row>
    <row r="99" spans="2:10" x14ac:dyDescent="0.25">
      <c r="B99" s="42" t="s">
        <v>182</v>
      </c>
      <c r="C99" s="4" t="s">
        <v>16</v>
      </c>
      <c r="D99" s="4">
        <v>3</v>
      </c>
      <c r="E99" s="4" t="s">
        <v>26</v>
      </c>
      <c r="F99" s="4"/>
      <c r="G99" s="5">
        <v>767</v>
      </c>
      <c r="H99" s="3">
        <v>0.01</v>
      </c>
      <c r="I99" s="5">
        <f t="shared" si="7"/>
        <v>7.67</v>
      </c>
    </row>
    <row r="100" spans="2:10" x14ac:dyDescent="0.25">
      <c r="B100" s="32"/>
      <c r="C100" s="32"/>
      <c r="D100" s="32"/>
      <c r="E100" s="32"/>
      <c r="F100" s="32"/>
      <c r="G100" s="32"/>
      <c r="H100" s="32"/>
      <c r="I100" s="16">
        <f>SUM(I92:I99)</f>
        <v>662.85199999999998</v>
      </c>
    </row>
    <row r="101" spans="2:10" x14ac:dyDescent="0.25">
      <c r="B101" s="135" t="s">
        <v>220</v>
      </c>
      <c r="C101" s="136"/>
      <c r="D101" s="136"/>
      <c r="E101" s="136"/>
      <c r="F101" s="136"/>
      <c r="G101" s="136"/>
      <c r="H101" s="136"/>
      <c r="I101" s="137"/>
      <c r="J101" s="35">
        <f>SUM(I87+I77+I70+I53+I36+I100)</f>
        <v>6730.4090000000006</v>
      </c>
    </row>
    <row r="102" spans="2:10" x14ac:dyDescent="0.25">
      <c r="B102" s="118" t="s">
        <v>10</v>
      </c>
      <c r="C102" s="118"/>
      <c r="D102" s="118"/>
      <c r="E102" s="118"/>
      <c r="F102" s="118"/>
      <c r="G102" s="118"/>
      <c r="H102" s="118"/>
      <c r="I102" s="118"/>
    </row>
    <row r="103" spans="2:10" ht="45" x14ac:dyDescent="0.25">
      <c r="B103" s="1" t="s">
        <v>1</v>
      </c>
      <c r="C103" s="1" t="s">
        <v>3</v>
      </c>
      <c r="D103" s="1" t="s">
        <v>2</v>
      </c>
      <c r="E103" s="1" t="s">
        <v>8</v>
      </c>
      <c r="F103" s="1" t="s">
        <v>12</v>
      </c>
      <c r="G103" s="1" t="s">
        <v>5</v>
      </c>
      <c r="H103" s="1" t="s">
        <v>6</v>
      </c>
      <c r="I103" s="1" t="s">
        <v>7</v>
      </c>
    </row>
    <row r="104" spans="2:10" x14ac:dyDescent="0.25">
      <c r="B104" s="2" t="s">
        <v>127</v>
      </c>
      <c r="C104" s="4" t="s">
        <v>15</v>
      </c>
      <c r="D104" s="4">
        <v>21</v>
      </c>
      <c r="E104" s="4">
        <v>16</v>
      </c>
      <c r="F104" s="4">
        <v>2832525</v>
      </c>
      <c r="G104" s="5">
        <v>993.75</v>
      </c>
      <c r="H104" s="3">
        <v>0.03</v>
      </c>
      <c r="I104" s="5">
        <f t="shared" ref="I104:I105" si="8">G104*H104</f>
        <v>29.8125</v>
      </c>
    </row>
    <row r="105" spans="2:10" x14ac:dyDescent="0.25">
      <c r="B105" s="2"/>
      <c r="C105" s="4"/>
      <c r="D105" s="4"/>
      <c r="E105" s="4"/>
      <c r="F105" s="4"/>
      <c r="G105" s="5"/>
      <c r="H105" s="3">
        <v>0.05</v>
      </c>
      <c r="I105" s="5">
        <f t="shared" si="8"/>
        <v>0</v>
      </c>
    </row>
    <row r="106" spans="2:10" x14ac:dyDescent="0.25">
      <c r="B106" s="114"/>
      <c r="C106" s="115"/>
      <c r="D106" s="115"/>
      <c r="E106" s="115"/>
      <c r="F106" s="115"/>
      <c r="G106" s="115"/>
      <c r="H106" s="116"/>
      <c r="I106" s="11">
        <f>SUM(I104:I105)</f>
        <v>29.8125</v>
      </c>
    </row>
    <row r="109" spans="2:10" x14ac:dyDescent="0.25">
      <c r="B109" s="117" t="s">
        <v>0</v>
      </c>
      <c r="C109" s="117"/>
      <c r="D109" s="117"/>
      <c r="E109" s="117"/>
      <c r="F109" s="117"/>
      <c r="G109" s="117"/>
      <c r="H109" s="117"/>
      <c r="I109" s="117"/>
    </row>
    <row r="110" spans="2:10" x14ac:dyDescent="0.25">
      <c r="B110" s="118" t="s">
        <v>11</v>
      </c>
      <c r="C110" s="118"/>
      <c r="D110" s="118"/>
      <c r="E110" s="118"/>
      <c r="F110" s="118"/>
      <c r="G110" s="118"/>
      <c r="H110" s="118"/>
      <c r="I110" s="118"/>
    </row>
    <row r="111" spans="2:10" ht="45" x14ac:dyDescent="0.25">
      <c r="B111" s="1" t="s">
        <v>1</v>
      </c>
      <c r="C111" s="1" t="s">
        <v>3</v>
      </c>
      <c r="D111" s="1" t="s">
        <v>2</v>
      </c>
      <c r="E111" s="1" t="s">
        <v>8</v>
      </c>
      <c r="F111" s="1" t="s">
        <v>12</v>
      </c>
      <c r="G111" s="1" t="s">
        <v>5</v>
      </c>
      <c r="H111" s="1" t="s">
        <v>6</v>
      </c>
      <c r="I111" s="1" t="s">
        <v>7</v>
      </c>
    </row>
    <row r="112" spans="2:10" x14ac:dyDescent="0.25">
      <c r="B112" s="2"/>
      <c r="C112" s="4"/>
      <c r="D112" s="4"/>
      <c r="E112" s="4"/>
      <c r="F112" s="4"/>
      <c r="G112" s="5">
        <v>0</v>
      </c>
      <c r="H112" s="3">
        <v>0.02</v>
      </c>
      <c r="I112" s="5">
        <f t="shared" ref="I112" si="9">G112*H112</f>
        <v>0</v>
      </c>
    </row>
    <row r="113" spans="2:10" x14ac:dyDescent="0.25">
      <c r="B113" s="114" t="s">
        <v>9</v>
      </c>
      <c r="C113" s="115"/>
      <c r="D113" s="115"/>
      <c r="E113" s="115"/>
      <c r="F113" s="115"/>
      <c r="G113" s="115"/>
      <c r="H113" s="116"/>
      <c r="I113" s="23">
        <f>SUM(I112:I112)</f>
        <v>0</v>
      </c>
    </row>
    <row r="115" spans="2:10" x14ac:dyDescent="0.25">
      <c r="B115" s="117" t="s">
        <v>0</v>
      </c>
      <c r="C115" s="117"/>
      <c r="D115" s="117"/>
      <c r="E115" s="117"/>
      <c r="F115" s="117"/>
      <c r="G115" s="117"/>
      <c r="H115" s="117"/>
      <c r="I115" s="117"/>
    </row>
    <row r="116" spans="2:10" x14ac:dyDescent="0.25">
      <c r="B116" s="118" t="s">
        <v>13</v>
      </c>
      <c r="C116" s="118"/>
      <c r="D116" s="118"/>
      <c r="E116" s="118"/>
      <c r="F116" s="118"/>
      <c r="G116" s="118"/>
      <c r="H116" s="118"/>
      <c r="I116" s="118"/>
    </row>
    <row r="117" spans="2:10" ht="45" x14ac:dyDescent="0.25">
      <c r="B117" s="1" t="s">
        <v>1</v>
      </c>
      <c r="C117" s="1" t="s">
        <v>3</v>
      </c>
      <c r="D117" s="1" t="s">
        <v>2</v>
      </c>
      <c r="E117" s="1" t="s">
        <v>8</v>
      </c>
      <c r="F117" s="1" t="s">
        <v>12</v>
      </c>
      <c r="G117" s="1" t="s">
        <v>5</v>
      </c>
      <c r="H117" s="1" t="s">
        <v>6</v>
      </c>
      <c r="I117" s="1" t="s">
        <v>7</v>
      </c>
    </row>
    <row r="118" spans="2:10" x14ac:dyDescent="0.25">
      <c r="B118" s="2"/>
      <c r="C118" s="4"/>
      <c r="D118" s="4"/>
      <c r="E118" s="4"/>
      <c r="F118" s="4"/>
      <c r="G118" s="5"/>
      <c r="H118" s="3"/>
      <c r="I118" s="5">
        <f t="shared" ref="I118:I122" si="10">G118*H118</f>
        <v>0</v>
      </c>
    </row>
    <row r="119" spans="2:10" x14ac:dyDescent="0.25">
      <c r="B119" s="2"/>
      <c r="C119" s="4"/>
      <c r="D119" s="4"/>
      <c r="E119" s="4"/>
      <c r="F119" s="4"/>
      <c r="G119" s="5"/>
      <c r="H119" s="3"/>
      <c r="I119" s="5">
        <f t="shared" si="10"/>
        <v>0</v>
      </c>
    </row>
    <row r="120" spans="2:10" x14ac:dyDescent="0.25">
      <c r="B120" s="2"/>
      <c r="C120" s="4"/>
      <c r="D120" s="4"/>
      <c r="E120" s="4"/>
      <c r="F120" s="4"/>
      <c r="G120" s="5"/>
      <c r="H120" s="3"/>
      <c r="I120" s="5">
        <f t="shared" si="10"/>
        <v>0</v>
      </c>
    </row>
    <row r="121" spans="2:10" x14ac:dyDescent="0.25">
      <c r="B121" s="2"/>
      <c r="C121" s="4"/>
      <c r="D121" s="4"/>
      <c r="E121" s="4"/>
      <c r="F121" s="4"/>
      <c r="G121" s="5"/>
      <c r="H121" s="3"/>
      <c r="I121" s="5">
        <f t="shared" si="10"/>
        <v>0</v>
      </c>
    </row>
    <row r="122" spans="2:10" x14ac:dyDescent="0.25">
      <c r="B122" s="2"/>
      <c r="C122" s="4"/>
      <c r="D122" s="4"/>
      <c r="E122" s="4"/>
      <c r="F122" s="4"/>
      <c r="G122" s="5"/>
      <c r="H122" s="3"/>
      <c r="I122" s="5">
        <f t="shared" si="10"/>
        <v>0</v>
      </c>
    </row>
    <row r="123" spans="2:10" x14ac:dyDescent="0.25">
      <c r="B123" s="114" t="s">
        <v>9</v>
      </c>
      <c r="C123" s="115"/>
      <c r="D123" s="115"/>
      <c r="E123" s="115"/>
      <c r="F123" s="115"/>
      <c r="G123" s="115"/>
      <c r="H123" s="116"/>
      <c r="I123" s="9">
        <f>SUM(I118:I122)</f>
        <v>0</v>
      </c>
      <c r="J123" s="35">
        <f>SUM(I106+I113+I123)</f>
        <v>29.8125</v>
      </c>
    </row>
    <row r="124" spans="2:10" ht="15.75" thickBot="1" x14ac:dyDescent="0.3"/>
    <row r="125" spans="2:10" ht="15.75" thickBot="1" x14ac:dyDescent="0.3">
      <c r="J125" s="65">
        <f>SUM(J101+J123)</f>
        <v>6760.2215000000006</v>
      </c>
    </row>
    <row r="128" spans="2:10" x14ac:dyDescent="0.25">
      <c r="B128" s="118" t="s">
        <v>176</v>
      </c>
      <c r="C128" s="118"/>
      <c r="D128" s="118"/>
      <c r="E128" s="118"/>
      <c r="F128" s="118"/>
      <c r="G128" s="118"/>
      <c r="H128" s="118"/>
      <c r="I128" s="118"/>
    </row>
    <row r="129" spans="2:10" ht="45" x14ac:dyDescent="0.25">
      <c r="B129" s="1" t="s">
        <v>1</v>
      </c>
      <c r="C129" s="1" t="s">
        <v>3</v>
      </c>
      <c r="D129" s="1" t="s">
        <v>2</v>
      </c>
      <c r="E129" s="1" t="s">
        <v>8</v>
      </c>
      <c r="F129" s="1" t="s">
        <v>12</v>
      </c>
      <c r="G129" s="1" t="s">
        <v>5</v>
      </c>
      <c r="H129" s="1" t="s">
        <v>6</v>
      </c>
      <c r="I129" s="1" t="s">
        <v>7</v>
      </c>
    </row>
    <row r="130" spans="2:10" x14ac:dyDescent="0.25">
      <c r="B130" s="42" t="s">
        <v>181</v>
      </c>
      <c r="C130" s="4" t="s">
        <v>15</v>
      </c>
      <c r="D130" s="4">
        <v>6</v>
      </c>
      <c r="E130" s="4">
        <v>1</v>
      </c>
      <c r="F130" s="4">
        <v>3</v>
      </c>
      <c r="G130" s="5">
        <v>866.6</v>
      </c>
      <c r="H130" s="3">
        <v>0.01</v>
      </c>
      <c r="I130" s="5">
        <f t="shared" ref="I130:I132" si="11">G130*H130</f>
        <v>8.6660000000000004</v>
      </c>
    </row>
    <row r="131" spans="2:10" x14ac:dyDescent="0.25">
      <c r="B131" s="42" t="s">
        <v>227</v>
      </c>
      <c r="C131" s="4"/>
      <c r="D131" s="4"/>
      <c r="E131" s="4"/>
      <c r="F131" s="4"/>
      <c r="G131" s="5">
        <v>8983.5</v>
      </c>
      <c r="H131" s="3">
        <v>0.01</v>
      </c>
      <c r="I131" s="5">
        <f t="shared" si="11"/>
        <v>89.835000000000008</v>
      </c>
    </row>
    <row r="132" spans="2:10" x14ac:dyDescent="0.25">
      <c r="B132" s="42" t="s">
        <v>182</v>
      </c>
      <c r="C132" s="4" t="s">
        <v>16</v>
      </c>
      <c r="D132" s="4">
        <v>3</v>
      </c>
      <c r="E132" s="4" t="s">
        <v>26</v>
      </c>
      <c r="F132" s="4"/>
      <c r="G132" s="5">
        <v>767</v>
      </c>
      <c r="H132" s="3">
        <v>0.01</v>
      </c>
      <c r="I132" s="5">
        <f t="shared" si="11"/>
        <v>7.67</v>
      </c>
    </row>
    <row r="133" spans="2:10" x14ac:dyDescent="0.25">
      <c r="J133" s="54">
        <f>SUM(I130:I132)</f>
        <v>106.17100000000001</v>
      </c>
    </row>
    <row r="135" spans="2:10" x14ac:dyDescent="0.25">
      <c r="J135" s="33">
        <f>SUM(J125+J133)</f>
        <v>6866.3925000000008</v>
      </c>
    </row>
  </sheetData>
  <mergeCells count="25">
    <mergeCell ref="B128:I128"/>
    <mergeCell ref="B109:I109"/>
    <mergeCell ref="B110:I110"/>
    <mergeCell ref="B113:H113"/>
    <mergeCell ref="B115:I115"/>
    <mergeCell ref="B116:I116"/>
    <mergeCell ref="B123:H123"/>
    <mergeCell ref="B106:H106"/>
    <mergeCell ref="B70:H70"/>
    <mergeCell ref="B72:I72"/>
    <mergeCell ref="B73:I73"/>
    <mergeCell ref="B77:H77"/>
    <mergeCell ref="B80:I80"/>
    <mergeCell ref="B81:I81"/>
    <mergeCell ref="B87:H87"/>
    <mergeCell ref="B89:I89"/>
    <mergeCell ref="B90:I90"/>
    <mergeCell ref="B101:I101"/>
    <mergeCell ref="B102:I102"/>
    <mergeCell ref="B56:I56"/>
    <mergeCell ref="B3:I3"/>
    <mergeCell ref="B4:I4"/>
    <mergeCell ref="B37:I37"/>
    <mergeCell ref="B53:H53"/>
    <mergeCell ref="B55:I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5892-42A2-43C9-BE73-7EB5CC3B41AB}">
  <sheetPr>
    <pageSetUpPr fitToPage="1"/>
  </sheetPr>
  <dimension ref="B3:J13"/>
  <sheetViews>
    <sheetView workbookViewId="0">
      <selection activeCell="E18" sqref="E18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34</v>
      </c>
      <c r="C6" s="2" t="s">
        <v>19</v>
      </c>
      <c r="D6" s="4">
        <v>17</v>
      </c>
      <c r="E6" s="4">
        <v>7</v>
      </c>
      <c r="F6" s="4">
        <v>1803</v>
      </c>
      <c r="G6" s="5">
        <v>4000</v>
      </c>
      <c r="H6" s="3">
        <v>0.05</v>
      </c>
      <c r="I6" s="5">
        <f t="shared" ref="I6:I9" si="0">G6*H6</f>
        <v>200</v>
      </c>
    </row>
    <row r="7" spans="2:10" x14ac:dyDescent="0.25">
      <c r="B7" s="2" t="s">
        <v>81</v>
      </c>
      <c r="C7" s="2" t="s">
        <v>18</v>
      </c>
      <c r="D7" s="4">
        <v>4</v>
      </c>
      <c r="E7" s="6" t="s">
        <v>82</v>
      </c>
      <c r="F7" s="4">
        <v>10</v>
      </c>
      <c r="G7" s="5">
        <v>2096</v>
      </c>
      <c r="H7" s="3">
        <v>0.05</v>
      </c>
      <c r="I7" s="5">
        <f t="shared" si="0"/>
        <v>104.80000000000001</v>
      </c>
    </row>
    <row r="8" spans="2:10" x14ac:dyDescent="0.25">
      <c r="B8" s="2"/>
      <c r="C8" s="2"/>
      <c r="D8" s="6"/>
      <c r="E8" s="4"/>
      <c r="F8" s="4"/>
      <c r="G8" s="5"/>
      <c r="H8" s="3">
        <v>0.03</v>
      </c>
      <c r="I8" s="5">
        <f t="shared" si="0"/>
        <v>0</v>
      </c>
    </row>
    <row r="9" spans="2:10" x14ac:dyDescent="0.25">
      <c r="B9" s="2"/>
      <c r="C9" s="2"/>
      <c r="D9" s="4"/>
      <c r="E9" s="4"/>
      <c r="F9" s="4"/>
      <c r="G9" s="5"/>
      <c r="H9" s="3">
        <v>0.03</v>
      </c>
      <c r="I9" s="5">
        <f t="shared" si="0"/>
        <v>0</v>
      </c>
    </row>
    <row r="10" spans="2:10" ht="15.75" thickBot="1" x14ac:dyDescent="0.3">
      <c r="B10" s="2"/>
      <c r="C10" s="2"/>
      <c r="D10" s="4"/>
      <c r="E10" s="4"/>
      <c r="F10" s="4"/>
      <c r="G10" s="5"/>
      <c r="H10" s="3"/>
      <c r="I10" s="5"/>
    </row>
    <row r="11" spans="2:10" ht="15.75" thickBot="1" x14ac:dyDescent="0.3">
      <c r="B11" s="114" t="s">
        <v>9</v>
      </c>
      <c r="C11" s="115"/>
      <c r="D11" s="115"/>
      <c r="E11" s="115"/>
      <c r="F11" s="115"/>
      <c r="G11" s="115"/>
      <c r="H11" s="116"/>
      <c r="I11" s="9">
        <f>SUM(I6:I9)</f>
        <v>304.8</v>
      </c>
      <c r="J11" s="13">
        <f>+I11</f>
        <v>304.8</v>
      </c>
    </row>
    <row r="12" spans="2:10" ht="16.5" customHeight="1" x14ac:dyDescent="0.25"/>
    <row r="13" spans="2:10" ht="16.5" customHeight="1" x14ac:dyDescent="0.25"/>
  </sheetData>
  <mergeCells count="3">
    <mergeCell ref="B3:I3"/>
    <mergeCell ref="B4:I4"/>
    <mergeCell ref="B11:H11"/>
  </mergeCells>
  <pageMargins left="0.25" right="0.25" top="0.75" bottom="0.75" header="0.3" footer="0.3"/>
  <pageSetup scale="71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A30E-19A5-444D-8869-71734B4B742F}">
  <sheetPr>
    <pageSetUpPr fitToPage="1"/>
  </sheetPr>
  <dimension ref="B3:J15"/>
  <sheetViews>
    <sheetView workbookViewId="0">
      <selection activeCell="B6" sqref="B6:I10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51</v>
      </c>
      <c r="C6" s="2" t="s">
        <v>4</v>
      </c>
      <c r="D6" s="4">
        <v>15</v>
      </c>
      <c r="E6" s="4">
        <v>7</v>
      </c>
      <c r="F6" s="4">
        <v>2403427</v>
      </c>
      <c r="G6" s="5">
        <v>1048</v>
      </c>
      <c r="H6" s="3">
        <v>0.05</v>
      </c>
      <c r="I6" s="5">
        <f t="shared" ref="I6:I12" si="0">G6*H6</f>
        <v>52.400000000000006</v>
      </c>
    </row>
    <row r="7" spans="2:10" x14ac:dyDescent="0.25">
      <c r="B7" s="2" t="s">
        <v>52</v>
      </c>
      <c r="C7" s="2" t="s">
        <v>15</v>
      </c>
      <c r="D7" s="4">
        <v>12</v>
      </c>
      <c r="E7" s="4">
        <v>8</v>
      </c>
      <c r="F7" s="4">
        <v>2177709</v>
      </c>
      <c r="G7" s="5">
        <v>875</v>
      </c>
      <c r="H7" s="3">
        <v>0.05</v>
      </c>
      <c r="I7" s="5">
        <f t="shared" si="0"/>
        <v>43.75</v>
      </c>
    </row>
    <row r="8" spans="2:10" x14ac:dyDescent="0.25">
      <c r="B8" s="2" t="s">
        <v>52</v>
      </c>
      <c r="C8" s="2" t="s">
        <v>15</v>
      </c>
      <c r="D8" s="4">
        <v>13</v>
      </c>
      <c r="E8" s="4">
        <v>7</v>
      </c>
      <c r="F8" s="4">
        <v>2185027</v>
      </c>
      <c r="G8" s="5">
        <v>900</v>
      </c>
      <c r="H8" s="3">
        <v>0.05</v>
      </c>
      <c r="I8" s="5">
        <f t="shared" ref="I8" si="1">G8*H8</f>
        <v>45</v>
      </c>
    </row>
    <row r="9" spans="2:10" x14ac:dyDescent="0.25">
      <c r="B9" s="2" t="s">
        <v>53</v>
      </c>
      <c r="C9" s="2" t="s">
        <v>18</v>
      </c>
      <c r="D9" s="4">
        <v>1</v>
      </c>
      <c r="E9" s="4">
        <v>5</v>
      </c>
      <c r="F9" s="4">
        <v>45</v>
      </c>
      <c r="G9" s="5">
        <v>3750</v>
      </c>
      <c r="H9" s="3">
        <v>0.05</v>
      </c>
      <c r="I9" s="5">
        <f t="shared" si="0"/>
        <v>187.5</v>
      </c>
    </row>
    <row r="10" spans="2:10" x14ac:dyDescent="0.25">
      <c r="B10" s="2" t="s">
        <v>54</v>
      </c>
      <c r="C10" s="2" t="s">
        <v>48</v>
      </c>
      <c r="D10" s="4">
        <v>7</v>
      </c>
      <c r="E10" s="4">
        <v>8</v>
      </c>
      <c r="F10" s="4">
        <v>3316</v>
      </c>
      <c r="G10" s="5">
        <v>1280.8</v>
      </c>
      <c r="H10" s="3">
        <v>0.05</v>
      </c>
      <c r="I10" s="5">
        <f t="shared" si="0"/>
        <v>64.040000000000006</v>
      </c>
    </row>
    <row r="11" spans="2:10" x14ac:dyDescent="0.25">
      <c r="B11" s="2" t="s">
        <v>55</v>
      </c>
      <c r="C11" s="2" t="s">
        <v>17</v>
      </c>
      <c r="D11" s="4">
        <v>6</v>
      </c>
      <c r="E11" s="4">
        <v>8</v>
      </c>
      <c r="F11" s="4">
        <v>429199</v>
      </c>
      <c r="G11" s="5">
        <v>1997</v>
      </c>
      <c r="H11" s="3">
        <v>0.05</v>
      </c>
      <c r="I11" s="5">
        <f t="shared" si="0"/>
        <v>99.850000000000009</v>
      </c>
    </row>
    <row r="12" spans="2:10" ht="15.75" thickBot="1" x14ac:dyDescent="0.3">
      <c r="B12" s="2"/>
      <c r="C12" s="2"/>
      <c r="D12" s="4"/>
      <c r="E12" s="4"/>
      <c r="F12" s="4"/>
      <c r="G12" s="5"/>
      <c r="H12" s="3"/>
      <c r="I12" s="5">
        <f t="shared" si="0"/>
        <v>0</v>
      </c>
    </row>
    <row r="13" spans="2:10" ht="15.75" thickBot="1" x14ac:dyDescent="0.3">
      <c r="B13" s="114" t="s">
        <v>9</v>
      </c>
      <c r="C13" s="115"/>
      <c r="D13" s="115"/>
      <c r="E13" s="115"/>
      <c r="F13" s="115"/>
      <c r="G13" s="115"/>
      <c r="H13" s="116"/>
      <c r="I13" s="7">
        <f>SUM(I6:I12)</f>
        <v>492.54</v>
      </c>
      <c r="J13" s="13">
        <f>+I13</f>
        <v>492.54</v>
      </c>
    </row>
    <row r="14" spans="2:10" ht="16.5" customHeight="1" x14ac:dyDescent="0.25"/>
    <row r="15" spans="2:10" ht="16.5" customHeight="1" x14ac:dyDescent="0.25"/>
  </sheetData>
  <mergeCells count="3">
    <mergeCell ref="B3:I3"/>
    <mergeCell ref="B4:I4"/>
    <mergeCell ref="B13:H13"/>
  </mergeCells>
  <pageMargins left="0.7" right="0.7" top="0.75" bottom="0.75" header="0.3" footer="0.3"/>
  <pageSetup scale="63" fitToHeight="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68EE-6E11-4FA0-8649-709A41B61023}">
  <sheetPr>
    <pageSetUpPr fitToPage="1"/>
  </sheetPr>
  <dimension ref="B3:J36"/>
  <sheetViews>
    <sheetView topLeftCell="A5" workbookViewId="0">
      <selection activeCell="A5" sqref="A1:XFD1048576"/>
    </sheetView>
  </sheetViews>
  <sheetFormatPr baseColWidth="10" defaultRowHeight="15" x14ac:dyDescent="0.25"/>
  <cols>
    <col min="1" max="1" width="5.28515625" customWidth="1"/>
    <col min="2" max="2" width="37.8554687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9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9" x14ac:dyDescent="0.25">
      <c r="B4" s="118" t="s">
        <v>96</v>
      </c>
      <c r="C4" s="118"/>
      <c r="D4" s="118"/>
      <c r="E4" s="118"/>
      <c r="F4" s="118"/>
      <c r="G4" s="118"/>
      <c r="H4" s="118"/>
      <c r="I4" s="118"/>
    </row>
    <row r="5" spans="2:9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9" x14ac:dyDescent="0.25">
      <c r="B6" s="80" t="s">
        <v>79</v>
      </c>
      <c r="C6" s="2" t="s">
        <v>18</v>
      </c>
      <c r="D6" s="4">
        <v>8</v>
      </c>
      <c r="E6" s="4">
        <v>10</v>
      </c>
      <c r="F6" s="4">
        <v>4826591</v>
      </c>
      <c r="G6" s="5">
        <v>1537</v>
      </c>
      <c r="H6" s="3">
        <v>0.05</v>
      </c>
      <c r="I6" s="5">
        <f t="shared" ref="I6:I7" si="0">G6*H6</f>
        <v>76.850000000000009</v>
      </c>
    </row>
    <row r="7" spans="2:9" x14ac:dyDescent="0.25">
      <c r="B7" s="80" t="s">
        <v>80</v>
      </c>
      <c r="C7" s="2" t="s">
        <v>4</v>
      </c>
      <c r="D7" s="4">
        <v>8</v>
      </c>
      <c r="E7" s="4">
        <v>6</v>
      </c>
      <c r="F7" s="4">
        <v>1250750</v>
      </c>
      <c r="G7" s="5">
        <v>541</v>
      </c>
      <c r="H7" s="3">
        <v>0.02</v>
      </c>
      <c r="I7" s="5">
        <f t="shared" si="0"/>
        <v>10.82</v>
      </c>
    </row>
    <row r="8" spans="2:9" x14ac:dyDescent="0.25">
      <c r="B8" s="80" t="s">
        <v>80</v>
      </c>
      <c r="C8" s="2" t="s">
        <v>4</v>
      </c>
      <c r="D8" s="4">
        <v>8</v>
      </c>
      <c r="E8" s="4">
        <v>6</v>
      </c>
      <c r="F8" s="4">
        <v>1249016</v>
      </c>
      <c r="G8" s="5">
        <v>500</v>
      </c>
      <c r="H8" s="3">
        <v>0.02</v>
      </c>
      <c r="I8" s="5">
        <f t="shared" ref="I8" si="1">G8*H8</f>
        <v>10</v>
      </c>
    </row>
    <row r="9" spans="2:9" x14ac:dyDescent="0.25">
      <c r="B9" s="80" t="s">
        <v>252</v>
      </c>
      <c r="C9" s="2" t="s">
        <v>111</v>
      </c>
      <c r="D9" s="4">
        <v>15</v>
      </c>
      <c r="E9" s="4">
        <v>1</v>
      </c>
      <c r="F9" s="4">
        <v>6473131</v>
      </c>
      <c r="G9" s="5">
        <v>767.7</v>
      </c>
      <c r="H9" s="3">
        <v>0.05</v>
      </c>
      <c r="I9" s="5">
        <f t="shared" ref="I9:I11" si="2">G9*H9</f>
        <v>38.385000000000005</v>
      </c>
    </row>
    <row r="10" spans="2:9" x14ac:dyDescent="0.25">
      <c r="B10" s="80" t="s">
        <v>184</v>
      </c>
      <c r="C10" s="2" t="s">
        <v>4</v>
      </c>
      <c r="D10" s="4">
        <v>13</v>
      </c>
      <c r="E10" s="4" t="s">
        <v>24</v>
      </c>
      <c r="F10" s="4">
        <v>4938749</v>
      </c>
      <c r="G10" s="5">
        <v>5000</v>
      </c>
      <c r="H10" s="3">
        <v>0.05</v>
      </c>
      <c r="I10" s="5">
        <f t="shared" ref="I10" si="3">G10*H10</f>
        <v>250</v>
      </c>
    </row>
    <row r="11" spans="2:9" x14ac:dyDescent="0.25">
      <c r="B11" s="80" t="s">
        <v>184</v>
      </c>
      <c r="C11" s="2" t="s">
        <v>4</v>
      </c>
      <c r="D11" s="4">
        <v>13</v>
      </c>
      <c r="E11" s="4">
        <v>1</v>
      </c>
      <c r="F11" s="4">
        <v>1174996</v>
      </c>
      <c r="G11" s="5">
        <v>629</v>
      </c>
      <c r="H11" s="3">
        <v>0.05</v>
      </c>
      <c r="I11" s="5">
        <f t="shared" si="2"/>
        <v>31.450000000000003</v>
      </c>
    </row>
    <row r="12" spans="2:9" x14ac:dyDescent="0.25">
      <c r="B12" s="80" t="s">
        <v>184</v>
      </c>
      <c r="C12" s="2" t="s">
        <v>4</v>
      </c>
      <c r="D12" s="4">
        <v>12</v>
      </c>
      <c r="E12" s="4">
        <v>1</v>
      </c>
      <c r="F12" s="4">
        <v>1155575</v>
      </c>
      <c r="G12" s="5">
        <v>591.4</v>
      </c>
      <c r="H12" s="3">
        <v>0.05</v>
      </c>
      <c r="I12" s="5">
        <f t="shared" ref="I12" si="4">G12*H12</f>
        <v>29.57</v>
      </c>
    </row>
    <row r="13" spans="2:9" x14ac:dyDescent="0.25">
      <c r="B13" s="2"/>
      <c r="C13" s="2"/>
      <c r="D13" s="4"/>
      <c r="E13" s="4"/>
      <c r="F13" s="4"/>
      <c r="G13" s="5"/>
      <c r="H13" s="3"/>
      <c r="I13" s="5"/>
    </row>
    <row r="14" spans="2:9" x14ac:dyDescent="0.25">
      <c r="B14" s="142" t="s">
        <v>9</v>
      </c>
      <c r="C14" s="142"/>
      <c r="D14" s="142"/>
      <c r="E14" s="142"/>
      <c r="F14" s="142"/>
      <c r="G14" s="142"/>
      <c r="H14" s="142"/>
      <c r="I14" s="11">
        <f>SUM(I6:I11)</f>
        <v>417.505</v>
      </c>
    </row>
    <row r="17" spans="2:10" x14ac:dyDescent="0.25">
      <c r="B17" s="117" t="s">
        <v>0</v>
      </c>
      <c r="C17" s="117"/>
      <c r="D17" s="117"/>
      <c r="E17" s="117"/>
      <c r="F17" s="117"/>
      <c r="G17" s="117"/>
      <c r="H17" s="117"/>
      <c r="I17" s="117"/>
    </row>
    <row r="18" spans="2:10" x14ac:dyDescent="0.25">
      <c r="B18" s="118" t="s">
        <v>30</v>
      </c>
      <c r="C18" s="118"/>
      <c r="D18" s="118"/>
      <c r="E18" s="118"/>
      <c r="F18" s="118"/>
      <c r="G18" s="118"/>
      <c r="H18" s="118"/>
      <c r="I18" s="118"/>
    </row>
    <row r="19" spans="2:10" ht="60" x14ac:dyDescent="0.25">
      <c r="B19" s="1" t="s">
        <v>1</v>
      </c>
      <c r="C19" s="1" t="s">
        <v>3</v>
      </c>
      <c r="D19" s="1" t="s">
        <v>2</v>
      </c>
      <c r="E19" s="1" t="s">
        <v>8</v>
      </c>
      <c r="F19" s="1" t="s">
        <v>12</v>
      </c>
      <c r="G19" s="1" t="s">
        <v>5</v>
      </c>
      <c r="H19" s="1" t="s">
        <v>6</v>
      </c>
      <c r="I19" s="1" t="s">
        <v>7</v>
      </c>
    </row>
    <row r="20" spans="2:10" x14ac:dyDescent="0.25">
      <c r="B20" s="80" t="s">
        <v>98</v>
      </c>
      <c r="C20" s="2" t="s">
        <v>25</v>
      </c>
      <c r="D20" s="4">
        <v>3</v>
      </c>
      <c r="E20" s="4">
        <v>6</v>
      </c>
      <c r="F20" s="4">
        <v>8080374</v>
      </c>
      <c r="G20" s="5">
        <v>420</v>
      </c>
      <c r="H20" s="3">
        <v>0.02</v>
      </c>
      <c r="I20" s="5">
        <f t="shared" ref="I20" si="5">G20*H20</f>
        <v>8.4</v>
      </c>
    </row>
    <row r="21" spans="2:10" x14ac:dyDescent="0.25">
      <c r="B21" s="80" t="s">
        <v>98</v>
      </c>
      <c r="C21" s="2" t="s">
        <v>25</v>
      </c>
      <c r="D21" s="4">
        <v>3</v>
      </c>
      <c r="E21" s="4">
        <v>6</v>
      </c>
      <c r="F21" s="4">
        <v>10053383</v>
      </c>
      <c r="G21" s="5">
        <v>400</v>
      </c>
      <c r="H21" s="3">
        <v>0.02</v>
      </c>
      <c r="I21" s="5">
        <f t="shared" ref="I21:I24" si="6">G21*H21</f>
        <v>8</v>
      </c>
    </row>
    <row r="22" spans="2:10" x14ac:dyDescent="0.25">
      <c r="B22" s="80" t="s">
        <v>254</v>
      </c>
      <c r="C22" s="2" t="s">
        <v>37</v>
      </c>
      <c r="D22" s="4">
        <v>4</v>
      </c>
      <c r="E22" s="4">
        <v>6</v>
      </c>
      <c r="F22" s="4">
        <v>407</v>
      </c>
      <c r="G22" s="5">
        <v>694.5</v>
      </c>
      <c r="H22" s="3">
        <v>0.02</v>
      </c>
      <c r="I22" s="5">
        <f t="shared" ref="I22" si="7">G22*H22</f>
        <v>13.89</v>
      </c>
    </row>
    <row r="23" spans="2:10" x14ac:dyDescent="0.25">
      <c r="B23" s="80" t="s">
        <v>254</v>
      </c>
      <c r="C23" s="2" t="s">
        <v>37</v>
      </c>
      <c r="D23" s="4">
        <v>4</v>
      </c>
      <c r="E23" s="4">
        <v>6</v>
      </c>
      <c r="F23" s="4" t="s">
        <v>253</v>
      </c>
      <c r="G23" s="5">
        <v>694.5</v>
      </c>
      <c r="H23" s="3">
        <v>0.02</v>
      </c>
      <c r="I23" s="5">
        <f t="shared" si="6"/>
        <v>13.89</v>
      </c>
    </row>
    <row r="24" spans="2:10" ht="15.75" customHeight="1" x14ac:dyDescent="0.25">
      <c r="B24" s="80" t="s">
        <v>99</v>
      </c>
      <c r="C24" s="2" t="s">
        <v>17</v>
      </c>
      <c r="D24" s="6" t="s">
        <v>89</v>
      </c>
      <c r="E24" s="4">
        <v>7</v>
      </c>
      <c r="F24" s="4">
        <v>1975354</v>
      </c>
      <c r="G24" s="5">
        <v>2459</v>
      </c>
      <c r="H24" s="3">
        <v>0.02</v>
      </c>
      <c r="I24" s="5">
        <f t="shared" si="6"/>
        <v>49.18</v>
      </c>
    </row>
    <row r="25" spans="2:10" x14ac:dyDescent="0.25">
      <c r="D25" s="49"/>
      <c r="E25" s="32"/>
      <c r="F25" s="32"/>
      <c r="G25" s="33"/>
      <c r="H25" s="34"/>
      <c r="I25" s="33"/>
    </row>
    <row r="26" spans="2:10" x14ac:dyDescent="0.25">
      <c r="I26" s="16">
        <f>SUM(I20:I24)</f>
        <v>93.36</v>
      </c>
      <c r="J26" s="71">
        <f>SUM(I14+I26)</f>
        <v>510.86500000000001</v>
      </c>
    </row>
    <row r="27" spans="2:10" x14ac:dyDescent="0.25">
      <c r="B27" s="117" t="s">
        <v>0</v>
      </c>
      <c r="C27" s="117"/>
      <c r="D27" s="117"/>
      <c r="E27" s="117"/>
      <c r="F27" s="117"/>
      <c r="G27" s="117"/>
      <c r="H27" s="117"/>
      <c r="I27" s="117"/>
    </row>
    <row r="28" spans="2:10" x14ac:dyDescent="0.25">
      <c r="B28" s="118" t="s">
        <v>97</v>
      </c>
      <c r="C28" s="118"/>
      <c r="D28" s="118"/>
      <c r="E28" s="118"/>
      <c r="F28" s="118"/>
      <c r="G28" s="118"/>
      <c r="H28" s="118"/>
      <c r="I28" s="118"/>
    </row>
    <row r="29" spans="2:10" ht="60" x14ac:dyDescent="0.25">
      <c r="B29" s="1" t="s">
        <v>1</v>
      </c>
      <c r="C29" s="1" t="s">
        <v>3</v>
      </c>
      <c r="D29" s="1" t="s">
        <v>2</v>
      </c>
      <c r="E29" s="1" t="s">
        <v>8</v>
      </c>
      <c r="F29" s="1" t="s">
        <v>12</v>
      </c>
      <c r="G29" s="1" t="s">
        <v>5</v>
      </c>
      <c r="H29" s="1" t="s">
        <v>6</v>
      </c>
      <c r="I29" s="1" t="s">
        <v>7</v>
      </c>
    </row>
    <row r="30" spans="2:10" s="59" customFormat="1" ht="17.25" customHeight="1" x14ac:dyDescent="0.25">
      <c r="B30" s="80" t="s">
        <v>135</v>
      </c>
      <c r="C30" s="55" t="s">
        <v>17</v>
      </c>
      <c r="D30" s="56">
        <v>4</v>
      </c>
      <c r="E30" s="56">
        <v>1</v>
      </c>
      <c r="F30" s="56">
        <v>130</v>
      </c>
      <c r="G30" s="57">
        <v>800</v>
      </c>
      <c r="H30" s="58">
        <v>0.05</v>
      </c>
      <c r="I30" s="57">
        <f>G30*H30</f>
        <v>40</v>
      </c>
    </row>
    <row r="31" spans="2:10" s="59" customFormat="1" ht="17.25" customHeight="1" x14ac:dyDescent="0.25">
      <c r="B31" s="80" t="s">
        <v>136</v>
      </c>
      <c r="C31" s="55" t="s">
        <v>19</v>
      </c>
      <c r="D31" s="56">
        <v>5</v>
      </c>
      <c r="E31" s="56">
        <v>1</v>
      </c>
      <c r="F31" s="56">
        <v>1171</v>
      </c>
      <c r="G31" s="57">
        <v>1012.2</v>
      </c>
      <c r="H31" s="58">
        <v>0.05</v>
      </c>
      <c r="I31" s="57">
        <f t="shared" ref="I31:I34" si="8">G31*H31</f>
        <v>50.610000000000007</v>
      </c>
    </row>
    <row r="32" spans="2:10" s="59" customFormat="1" x14ac:dyDescent="0.25">
      <c r="B32" s="80" t="s">
        <v>133</v>
      </c>
      <c r="C32" s="55" t="s">
        <v>15</v>
      </c>
      <c r="D32" s="56">
        <v>7</v>
      </c>
      <c r="E32" s="56">
        <v>1</v>
      </c>
      <c r="F32" s="56">
        <v>6</v>
      </c>
      <c r="G32" s="57">
        <v>1116.5999999999999</v>
      </c>
      <c r="H32" s="58">
        <v>0.05</v>
      </c>
      <c r="I32" s="57">
        <f t="shared" si="8"/>
        <v>55.83</v>
      </c>
    </row>
    <row r="33" spans="2:10" s="59" customFormat="1" x14ac:dyDescent="0.25">
      <c r="B33" s="80" t="s">
        <v>255</v>
      </c>
      <c r="C33" s="55" t="s">
        <v>17</v>
      </c>
      <c r="D33" s="56">
        <v>1</v>
      </c>
      <c r="E33" s="56">
        <v>1</v>
      </c>
      <c r="F33" s="56">
        <v>0</v>
      </c>
      <c r="G33" s="57">
        <v>760.4</v>
      </c>
      <c r="H33" s="58">
        <v>0.05</v>
      </c>
      <c r="I33" s="57">
        <f t="shared" si="8"/>
        <v>38.020000000000003</v>
      </c>
    </row>
    <row r="34" spans="2:10" s="59" customFormat="1" x14ac:dyDescent="0.25">
      <c r="B34" s="80" t="s">
        <v>134</v>
      </c>
      <c r="C34" s="55" t="s">
        <v>22</v>
      </c>
      <c r="D34" s="56">
        <v>1</v>
      </c>
      <c r="E34" s="56">
        <v>1</v>
      </c>
      <c r="F34" s="56">
        <v>129</v>
      </c>
      <c r="G34" s="57">
        <v>900</v>
      </c>
      <c r="H34" s="58">
        <v>0.05</v>
      </c>
      <c r="I34" s="57">
        <f t="shared" si="8"/>
        <v>45</v>
      </c>
    </row>
    <row r="35" spans="2:10" ht="15.75" thickBot="1" x14ac:dyDescent="0.3">
      <c r="I35" s="16">
        <f>SUM(I30:I34)</f>
        <v>229.46</v>
      </c>
    </row>
    <row r="36" spans="2:10" ht="15.75" thickBot="1" x14ac:dyDescent="0.3">
      <c r="J36" s="60">
        <f>+I35</f>
        <v>229.46</v>
      </c>
    </row>
  </sheetData>
  <mergeCells count="7">
    <mergeCell ref="B27:I27"/>
    <mergeCell ref="B28:I28"/>
    <mergeCell ref="B3:I3"/>
    <mergeCell ref="B4:I4"/>
    <mergeCell ref="B14:H14"/>
    <mergeCell ref="B17:I17"/>
    <mergeCell ref="B18:I18"/>
  </mergeCells>
  <pageMargins left="0.7" right="0.7" top="0.75" bottom="0.75" header="0.3" footer="0.3"/>
  <pageSetup scale="65" fitToHeight="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FFE4-BF3C-4A41-830F-65DDF36C88BD}">
  <sheetPr>
    <pageSetUpPr fitToPage="1"/>
  </sheetPr>
  <dimension ref="B3:J20"/>
  <sheetViews>
    <sheetView workbookViewId="0">
      <selection activeCell="F16" sqref="F16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43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45</v>
      </c>
      <c r="C6" s="2" t="s">
        <v>17</v>
      </c>
      <c r="D6" s="4">
        <v>17</v>
      </c>
      <c r="E6" s="4" t="s">
        <v>21</v>
      </c>
      <c r="F6" s="4">
        <v>486718</v>
      </c>
      <c r="G6" s="5">
        <v>1000</v>
      </c>
      <c r="H6" s="3">
        <v>0.3</v>
      </c>
      <c r="I6" s="5">
        <f t="shared" ref="I6:I8" si="0">G6*H6</f>
        <v>300</v>
      </c>
    </row>
    <row r="7" spans="2:10" x14ac:dyDescent="0.25">
      <c r="B7" s="2" t="s">
        <v>46</v>
      </c>
      <c r="C7" s="2" t="s">
        <v>15</v>
      </c>
      <c r="D7" s="4">
        <v>18</v>
      </c>
      <c r="E7" s="4" t="s">
        <v>21</v>
      </c>
      <c r="F7" s="4">
        <v>1152442</v>
      </c>
      <c r="G7" s="5">
        <v>1000</v>
      </c>
      <c r="H7" s="3">
        <v>0.3</v>
      </c>
      <c r="I7" s="5">
        <f t="shared" si="0"/>
        <v>300</v>
      </c>
    </row>
    <row r="8" spans="2:10" x14ac:dyDescent="0.25">
      <c r="B8" s="2" t="s">
        <v>47</v>
      </c>
      <c r="C8" s="2" t="s">
        <v>48</v>
      </c>
      <c r="D8" s="6" t="s">
        <v>49</v>
      </c>
      <c r="E8" s="4" t="s">
        <v>24</v>
      </c>
      <c r="F8" s="4" t="s">
        <v>50</v>
      </c>
      <c r="G8" s="5">
        <v>500</v>
      </c>
      <c r="H8" s="3">
        <v>0.05</v>
      </c>
      <c r="I8" s="5">
        <f t="shared" si="0"/>
        <v>25</v>
      </c>
    </row>
    <row r="9" spans="2:10" x14ac:dyDescent="0.25">
      <c r="B9" s="2" t="s">
        <v>47</v>
      </c>
      <c r="C9" s="2" t="s">
        <v>48</v>
      </c>
      <c r="D9" s="6" t="s">
        <v>49</v>
      </c>
      <c r="E9" s="4" t="s">
        <v>21</v>
      </c>
      <c r="F9" s="4">
        <v>2375</v>
      </c>
      <c r="G9" s="5">
        <v>2000</v>
      </c>
      <c r="H9" s="3">
        <v>0.3</v>
      </c>
      <c r="I9" s="5">
        <f t="shared" ref="I9" si="1">G9*H9</f>
        <v>600</v>
      </c>
    </row>
    <row r="10" spans="2:10" x14ac:dyDescent="0.25">
      <c r="B10" s="2"/>
      <c r="C10" s="2"/>
      <c r="D10" s="4"/>
      <c r="E10" s="4"/>
      <c r="F10" s="4"/>
      <c r="G10" s="5"/>
      <c r="H10" s="3"/>
      <c r="I10" s="5"/>
    </row>
    <row r="11" spans="2:10" ht="15.75" thickBot="1" x14ac:dyDescent="0.3">
      <c r="B11" s="2"/>
      <c r="C11" s="2"/>
      <c r="D11" s="4"/>
      <c r="E11" s="4"/>
      <c r="F11" s="4"/>
      <c r="G11" s="5"/>
      <c r="H11" s="3"/>
      <c r="I11" s="5"/>
    </row>
    <row r="12" spans="2:10" ht="15.75" thickBot="1" x14ac:dyDescent="0.3">
      <c r="B12" s="114" t="s">
        <v>9</v>
      </c>
      <c r="C12" s="115"/>
      <c r="D12" s="115"/>
      <c r="E12" s="115"/>
      <c r="F12" s="115"/>
      <c r="G12" s="115"/>
      <c r="H12" s="116"/>
      <c r="I12" s="7">
        <f>SUM(I6:I9)</f>
        <v>1225</v>
      </c>
      <c r="J12" s="13">
        <f>+I12</f>
        <v>1225</v>
      </c>
    </row>
    <row r="13" spans="2:10" ht="16.5" customHeight="1" x14ac:dyDescent="0.25">
      <c r="J13" t="s">
        <v>84</v>
      </c>
    </row>
    <row r="14" spans="2:10" ht="16.5" customHeight="1" x14ac:dyDescent="0.25"/>
    <row r="20" spans="10:10" x14ac:dyDescent="0.25">
      <c r="J20">
        <v>0</v>
      </c>
    </row>
  </sheetData>
  <mergeCells count="3">
    <mergeCell ref="B3:I3"/>
    <mergeCell ref="B4:I4"/>
    <mergeCell ref="B12:H12"/>
  </mergeCells>
  <pageMargins left="0.7" right="0.7" top="0.75" bottom="0.75" header="0.3" footer="0.3"/>
  <pageSetup scale="63" fitToHeight="0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6EAC-EEDF-4DD3-A21E-0F679AF97F7D}">
  <sheetPr>
    <pageSetUpPr fitToPage="1"/>
  </sheetPr>
  <dimension ref="B3:J12"/>
  <sheetViews>
    <sheetView workbookViewId="0">
      <selection activeCell="D12" sqref="D12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31</v>
      </c>
      <c r="C6" s="2" t="s">
        <v>37</v>
      </c>
      <c r="D6" s="4">
        <v>1</v>
      </c>
      <c r="E6" s="4">
        <v>7</v>
      </c>
      <c r="F6" s="4">
        <v>7883</v>
      </c>
      <c r="G6" s="5">
        <v>2345.6</v>
      </c>
      <c r="H6" s="3">
        <v>0.04</v>
      </c>
      <c r="I6" s="5">
        <f t="shared" ref="I6" si="0">G6*H6</f>
        <v>93.823999999999998</v>
      </c>
    </row>
    <row r="7" spans="2:10" x14ac:dyDescent="0.25">
      <c r="B7" s="2"/>
      <c r="C7" s="2"/>
      <c r="D7" s="4"/>
      <c r="E7" s="4"/>
      <c r="F7" s="4"/>
      <c r="G7" s="5"/>
      <c r="H7" s="3"/>
      <c r="I7" s="5"/>
    </row>
    <row r="8" spans="2:10" x14ac:dyDescent="0.25">
      <c r="B8" s="2"/>
      <c r="C8" s="2"/>
      <c r="D8" s="4"/>
      <c r="E8" s="4"/>
      <c r="F8" s="4"/>
      <c r="G8" s="5"/>
      <c r="H8" s="3"/>
      <c r="I8" s="5"/>
    </row>
    <row r="9" spans="2:10" ht="15.75" thickBot="1" x14ac:dyDescent="0.3">
      <c r="B9" s="2"/>
      <c r="C9" s="2"/>
      <c r="D9" s="4"/>
      <c r="E9" s="4"/>
      <c r="F9" s="4"/>
      <c r="G9" s="5"/>
      <c r="H9" s="3"/>
      <c r="I9" s="5"/>
    </row>
    <row r="10" spans="2:10" ht="15.75" thickBot="1" x14ac:dyDescent="0.3">
      <c r="B10" s="114" t="s">
        <v>9</v>
      </c>
      <c r="C10" s="115"/>
      <c r="D10" s="115"/>
      <c r="E10" s="115"/>
      <c r="F10" s="115"/>
      <c r="G10" s="115"/>
      <c r="H10" s="116"/>
      <c r="I10" s="7">
        <f>SUM(I6:I6)</f>
        <v>93.823999999999998</v>
      </c>
      <c r="J10" s="13">
        <f>+I10</f>
        <v>93.823999999999998</v>
      </c>
    </row>
    <row r="11" spans="2:10" ht="16.5" customHeight="1" x14ac:dyDescent="0.25"/>
    <row r="12" spans="2:10" ht="16.5" customHeight="1" x14ac:dyDescent="0.25"/>
  </sheetData>
  <mergeCells count="3">
    <mergeCell ref="B3:I3"/>
    <mergeCell ref="B4:I4"/>
    <mergeCell ref="B10:H10"/>
  </mergeCells>
  <pageMargins left="0.7" right="0.7" top="0.75" bottom="0.75" header="0.3" footer="0.3"/>
  <pageSetup scale="63" fitToHeight="0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ACBC-481D-4E36-8F33-6D94B67093C1}">
  <sheetPr>
    <pageSetUpPr fitToPage="1"/>
  </sheetPr>
  <dimension ref="B3:J21"/>
  <sheetViews>
    <sheetView workbookViewId="0">
      <selection activeCell="N11" sqref="N11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42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41</v>
      </c>
      <c r="C6" s="2" t="s">
        <v>4</v>
      </c>
      <c r="D6" s="4">
        <v>1</v>
      </c>
      <c r="E6" s="4" t="s">
        <v>21</v>
      </c>
      <c r="F6" s="4">
        <v>1884</v>
      </c>
      <c r="G6" s="5">
        <v>600</v>
      </c>
      <c r="H6" s="3">
        <v>0.3</v>
      </c>
      <c r="I6" s="5">
        <f t="shared" ref="I6:I7" si="0">G6*H6</f>
        <v>180</v>
      </c>
    </row>
    <row r="7" spans="2:10" x14ac:dyDescent="0.25">
      <c r="B7" s="2" t="s">
        <v>41</v>
      </c>
      <c r="C7" s="2" t="s">
        <v>4</v>
      </c>
      <c r="D7" s="4">
        <v>1</v>
      </c>
      <c r="E7" s="4" t="s">
        <v>21</v>
      </c>
      <c r="F7" s="4">
        <v>1913</v>
      </c>
      <c r="G7" s="5">
        <v>400</v>
      </c>
      <c r="H7" s="3">
        <v>0.3</v>
      </c>
      <c r="I7" s="5">
        <f t="shared" si="0"/>
        <v>120</v>
      </c>
    </row>
    <row r="8" spans="2:10" x14ac:dyDescent="0.25">
      <c r="B8" s="2"/>
      <c r="C8" s="2"/>
      <c r="D8" s="6"/>
      <c r="E8" s="4"/>
      <c r="F8" s="4"/>
      <c r="G8" s="5"/>
      <c r="H8" s="3"/>
      <c r="I8" s="5"/>
    </row>
    <row r="9" spans="2:10" x14ac:dyDescent="0.25">
      <c r="B9" s="2"/>
      <c r="C9" s="2"/>
      <c r="D9" s="4"/>
      <c r="E9" s="4"/>
      <c r="F9" s="4"/>
      <c r="G9" s="5"/>
      <c r="H9" s="3"/>
      <c r="I9" s="5"/>
    </row>
    <row r="10" spans="2:10" x14ac:dyDescent="0.25">
      <c r="B10" s="2"/>
      <c r="C10" s="2"/>
      <c r="D10" s="4"/>
      <c r="E10" s="4"/>
      <c r="F10" s="4"/>
      <c r="G10" s="5"/>
      <c r="H10" s="3"/>
      <c r="I10" s="5"/>
    </row>
    <row r="11" spans="2:10" ht="15.75" thickBot="1" x14ac:dyDescent="0.3">
      <c r="B11" s="2"/>
      <c r="C11" s="2"/>
      <c r="D11" s="4"/>
      <c r="E11" s="4"/>
      <c r="F11" s="4"/>
      <c r="G11" s="5"/>
      <c r="H11" s="3"/>
      <c r="I11" s="5"/>
    </row>
    <row r="12" spans="2:10" ht="15.75" thickBot="1" x14ac:dyDescent="0.3">
      <c r="B12" s="114" t="s">
        <v>9</v>
      </c>
      <c r="C12" s="115"/>
      <c r="D12" s="115"/>
      <c r="E12" s="115"/>
      <c r="F12" s="115"/>
      <c r="G12" s="115"/>
      <c r="H12" s="116"/>
      <c r="I12" s="7">
        <f>SUM(I6:I8)</f>
        <v>300</v>
      </c>
      <c r="J12" s="8">
        <f>+I12</f>
        <v>300</v>
      </c>
    </row>
    <row r="13" spans="2:10" ht="16.5" customHeight="1" x14ac:dyDescent="0.25"/>
    <row r="14" spans="2:10" ht="16.5" customHeight="1" x14ac:dyDescent="0.25"/>
    <row r="15" spans="2:10" x14ac:dyDescent="0.25">
      <c r="B15" s="117" t="s">
        <v>0</v>
      </c>
      <c r="C15" s="117"/>
      <c r="D15" s="117"/>
      <c r="E15" s="117"/>
      <c r="F15" s="117"/>
      <c r="G15" s="117"/>
      <c r="H15" s="117"/>
      <c r="I15" s="117"/>
    </row>
    <row r="16" spans="2:10" x14ac:dyDescent="0.25">
      <c r="B16" s="118" t="s">
        <v>43</v>
      </c>
      <c r="C16" s="118"/>
      <c r="D16" s="118"/>
      <c r="E16" s="118"/>
      <c r="F16" s="118"/>
      <c r="G16" s="118"/>
      <c r="H16" s="118"/>
      <c r="I16" s="118"/>
    </row>
    <row r="17" spans="2:10" ht="60" x14ac:dyDescent="0.25">
      <c r="B17" s="1" t="s">
        <v>1</v>
      </c>
      <c r="C17" s="1" t="s">
        <v>3</v>
      </c>
      <c r="D17" s="1" t="s">
        <v>2</v>
      </c>
      <c r="E17" s="1" t="s">
        <v>8</v>
      </c>
      <c r="F17" s="1" t="s">
        <v>12</v>
      </c>
      <c r="G17" s="1" t="s">
        <v>5</v>
      </c>
      <c r="H17" s="1" t="s">
        <v>6</v>
      </c>
      <c r="I17" s="1" t="s">
        <v>7</v>
      </c>
    </row>
    <row r="18" spans="2:10" x14ac:dyDescent="0.25">
      <c r="B18" s="2" t="s">
        <v>44</v>
      </c>
      <c r="C18" s="2" t="s">
        <v>15</v>
      </c>
      <c r="D18" s="4">
        <v>23</v>
      </c>
      <c r="E18" s="4" t="s">
        <v>21</v>
      </c>
      <c r="F18" s="4">
        <v>649</v>
      </c>
      <c r="G18" s="5">
        <v>1000</v>
      </c>
      <c r="H18" s="3">
        <v>0.3</v>
      </c>
      <c r="I18" s="5">
        <f t="shared" ref="I18:I19" si="1">G18*H18</f>
        <v>300</v>
      </c>
    </row>
    <row r="19" spans="2:10" x14ac:dyDescent="0.25">
      <c r="B19" s="2"/>
      <c r="C19" s="2"/>
      <c r="D19" s="4"/>
      <c r="E19" s="4"/>
      <c r="F19" s="4"/>
      <c r="G19" s="5"/>
      <c r="H19" s="3"/>
      <c r="I19" s="5">
        <f t="shared" si="1"/>
        <v>0</v>
      </c>
    </row>
    <row r="20" spans="2:10" ht="15.75" thickBot="1" x14ac:dyDescent="0.3">
      <c r="B20" s="2"/>
      <c r="C20" s="2"/>
      <c r="D20" s="4"/>
      <c r="E20" s="4"/>
      <c r="F20" s="4"/>
      <c r="G20" s="5"/>
      <c r="H20" s="3"/>
      <c r="I20" s="5"/>
    </row>
    <row r="21" spans="2:10" ht="15.75" thickBot="1" x14ac:dyDescent="0.3">
      <c r="B21" s="114" t="s">
        <v>9</v>
      </c>
      <c r="C21" s="115"/>
      <c r="D21" s="115"/>
      <c r="E21" s="115"/>
      <c r="F21" s="115"/>
      <c r="G21" s="115"/>
      <c r="H21" s="116"/>
      <c r="I21" s="7">
        <f>SUM(I18:I19)</f>
        <v>300</v>
      </c>
      <c r="J21" s="8">
        <f>+I21</f>
        <v>300</v>
      </c>
    </row>
  </sheetData>
  <mergeCells count="6">
    <mergeCell ref="B21:H21"/>
    <mergeCell ref="B3:I3"/>
    <mergeCell ref="B4:I4"/>
    <mergeCell ref="B12:H12"/>
    <mergeCell ref="B15:I15"/>
    <mergeCell ref="B16:I16"/>
  </mergeCells>
  <pageMargins left="0.7" right="0.7" top="0.75" bottom="0.75" header="0.3" footer="0.3"/>
  <pageSetup scale="63" fitToHeight="0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2A9F-53BC-4C4E-9DE8-417E9EE83DBE}">
  <sheetPr>
    <pageSetUpPr fitToPage="1"/>
  </sheetPr>
  <dimension ref="B3:J64"/>
  <sheetViews>
    <sheetView workbookViewId="0">
      <selection sqref="A1:XFD1048576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13.42578125" customWidth="1"/>
    <col min="6" max="6" width="19" customWidth="1"/>
    <col min="7" max="7" width="13.7109375" customWidth="1"/>
    <col min="8" max="8" width="13.28515625" customWidth="1"/>
    <col min="9" max="9" width="16" customWidth="1"/>
    <col min="10" max="10" width="15" customWidth="1"/>
  </cols>
  <sheetData>
    <row r="3" spans="2:9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9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9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9" x14ac:dyDescent="0.25">
      <c r="B6" s="42" t="s">
        <v>56</v>
      </c>
      <c r="C6" s="2" t="s">
        <v>20</v>
      </c>
      <c r="D6" s="4">
        <v>14</v>
      </c>
      <c r="E6" s="4">
        <v>7</v>
      </c>
      <c r="F6" s="4">
        <v>468162</v>
      </c>
      <c r="G6" s="5">
        <v>1553.5</v>
      </c>
      <c r="H6" s="3">
        <v>0.04</v>
      </c>
      <c r="I6" s="5">
        <f t="shared" ref="I6" si="0">G6*H6</f>
        <v>62.14</v>
      </c>
    </row>
    <row r="7" spans="2:9" x14ac:dyDescent="0.25">
      <c r="B7" s="42" t="s">
        <v>59</v>
      </c>
      <c r="C7" s="2" t="s">
        <v>19</v>
      </c>
      <c r="D7" s="4">
        <v>23</v>
      </c>
      <c r="E7" s="4">
        <v>7</v>
      </c>
      <c r="F7" s="4">
        <v>1316</v>
      </c>
      <c r="G7" s="5">
        <v>823.4</v>
      </c>
      <c r="H7" s="3">
        <v>0.04</v>
      </c>
      <c r="I7" s="5">
        <f t="shared" ref="I7:I10" si="1">G7*H7</f>
        <v>32.936</v>
      </c>
    </row>
    <row r="8" spans="2:9" x14ac:dyDescent="0.25">
      <c r="B8" s="42" t="s">
        <v>60</v>
      </c>
      <c r="C8" s="2" t="s">
        <v>25</v>
      </c>
      <c r="D8" s="4">
        <v>6</v>
      </c>
      <c r="E8" s="4">
        <v>6</v>
      </c>
      <c r="F8" s="4">
        <v>163</v>
      </c>
      <c r="G8" s="5">
        <v>1921.5</v>
      </c>
      <c r="H8" s="3">
        <v>0.05</v>
      </c>
      <c r="I8" s="5">
        <f t="shared" si="1"/>
        <v>96.075000000000003</v>
      </c>
    </row>
    <row r="9" spans="2:9" x14ac:dyDescent="0.25">
      <c r="B9" s="42" t="s">
        <v>60</v>
      </c>
      <c r="C9" s="2" t="s">
        <v>25</v>
      </c>
      <c r="D9" s="4">
        <v>5</v>
      </c>
      <c r="E9" s="4" t="s">
        <v>26</v>
      </c>
      <c r="F9" s="4">
        <v>100</v>
      </c>
      <c r="G9" s="5">
        <v>1000</v>
      </c>
      <c r="H9" s="3">
        <v>0.05</v>
      </c>
      <c r="I9" s="5">
        <f t="shared" ref="I9" si="2">G9*H9</f>
        <v>50</v>
      </c>
    </row>
    <row r="10" spans="2:9" x14ac:dyDescent="0.25">
      <c r="B10" s="42" t="s">
        <v>61</v>
      </c>
      <c r="C10" s="2" t="s">
        <v>62</v>
      </c>
      <c r="D10" s="4">
        <v>9</v>
      </c>
      <c r="E10" s="4">
        <v>7</v>
      </c>
      <c r="F10" s="4">
        <v>35</v>
      </c>
      <c r="G10" s="5">
        <v>911</v>
      </c>
      <c r="H10" s="3">
        <v>0.04</v>
      </c>
      <c r="I10" s="5">
        <f t="shared" si="1"/>
        <v>36.44</v>
      </c>
    </row>
    <row r="11" spans="2:9" ht="16.5" customHeight="1" x14ac:dyDescent="0.25">
      <c r="B11" s="42" t="s">
        <v>57</v>
      </c>
      <c r="C11" s="2" t="s">
        <v>4</v>
      </c>
      <c r="D11" s="4">
        <v>9</v>
      </c>
      <c r="E11" s="4">
        <v>7</v>
      </c>
      <c r="F11" s="4">
        <v>4075103</v>
      </c>
      <c r="G11" s="5">
        <v>2465</v>
      </c>
      <c r="H11" s="3">
        <v>0.04</v>
      </c>
      <c r="I11" s="5">
        <f t="shared" ref="I11" si="3">G11*H11</f>
        <v>98.600000000000009</v>
      </c>
    </row>
    <row r="12" spans="2:9" x14ac:dyDescent="0.25">
      <c r="B12" s="73" t="s">
        <v>102</v>
      </c>
      <c r="C12" s="2" t="s">
        <v>20</v>
      </c>
      <c r="D12" s="4">
        <v>12</v>
      </c>
      <c r="E12" s="4">
        <v>4</v>
      </c>
      <c r="F12" s="4">
        <v>3877</v>
      </c>
      <c r="G12" s="5">
        <v>1214.5999999999999</v>
      </c>
      <c r="H12" s="3">
        <v>0.05</v>
      </c>
      <c r="I12" s="5">
        <f t="shared" ref="I12:I15" si="4">G12*H12</f>
        <v>60.73</v>
      </c>
    </row>
    <row r="13" spans="2:9" x14ac:dyDescent="0.25">
      <c r="B13" s="73" t="s">
        <v>101</v>
      </c>
      <c r="C13" s="2" t="s">
        <v>48</v>
      </c>
      <c r="D13" s="4">
        <v>4</v>
      </c>
      <c r="E13" s="4">
        <v>5</v>
      </c>
      <c r="F13" s="4">
        <v>1712738</v>
      </c>
      <c r="G13" s="5">
        <v>1987.5</v>
      </c>
      <c r="H13" s="3">
        <v>0.05</v>
      </c>
      <c r="I13" s="5">
        <f t="shared" si="4"/>
        <v>99.375</v>
      </c>
    </row>
    <row r="14" spans="2:9" x14ac:dyDescent="0.25">
      <c r="B14" s="73" t="s">
        <v>100</v>
      </c>
      <c r="C14" s="2" t="s">
        <v>48</v>
      </c>
      <c r="D14" s="4">
        <v>3</v>
      </c>
      <c r="E14" s="4">
        <v>5</v>
      </c>
      <c r="F14" s="4">
        <v>1706560</v>
      </c>
      <c r="G14" s="5">
        <v>1987.5</v>
      </c>
      <c r="H14" s="3">
        <v>0.05</v>
      </c>
      <c r="I14" s="5">
        <f t="shared" si="4"/>
        <v>99.375</v>
      </c>
    </row>
    <row r="15" spans="2:9" x14ac:dyDescent="0.25">
      <c r="B15" s="73" t="s">
        <v>108</v>
      </c>
      <c r="C15" s="2" t="s">
        <v>62</v>
      </c>
      <c r="D15" s="4">
        <v>2</v>
      </c>
      <c r="E15" s="4">
        <v>5</v>
      </c>
      <c r="F15" s="4">
        <v>936904</v>
      </c>
      <c r="G15" s="5">
        <v>1020</v>
      </c>
      <c r="H15" s="3">
        <v>0.05</v>
      </c>
      <c r="I15" s="5">
        <f t="shared" si="4"/>
        <v>51</v>
      </c>
    </row>
    <row r="16" spans="2:9" x14ac:dyDescent="0.25">
      <c r="B16" s="42" t="s">
        <v>186</v>
      </c>
      <c r="C16" s="2" t="s">
        <v>111</v>
      </c>
      <c r="D16" s="4">
        <v>13</v>
      </c>
      <c r="E16" s="4">
        <v>1</v>
      </c>
      <c r="F16" s="4">
        <v>1008370</v>
      </c>
      <c r="G16" s="5">
        <v>1000</v>
      </c>
      <c r="H16" s="3">
        <v>0.05</v>
      </c>
      <c r="I16" s="5">
        <f t="shared" ref="I16:I17" si="5">G16*H16</f>
        <v>50</v>
      </c>
    </row>
    <row r="17" spans="2:9" x14ac:dyDescent="0.25">
      <c r="B17" s="42" t="s">
        <v>185</v>
      </c>
      <c r="C17" s="2" t="s">
        <v>111</v>
      </c>
      <c r="D17" s="4">
        <v>14</v>
      </c>
      <c r="E17" s="4">
        <v>1</v>
      </c>
      <c r="F17" s="4">
        <v>0</v>
      </c>
      <c r="G17" s="5">
        <v>1000</v>
      </c>
      <c r="H17" s="3">
        <v>0.05</v>
      </c>
      <c r="I17" s="5">
        <f t="shared" si="5"/>
        <v>50</v>
      </c>
    </row>
    <row r="18" spans="2:9" x14ac:dyDescent="0.25">
      <c r="B18" s="42" t="s">
        <v>238</v>
      </c>
      <c r="C18" s="2" t="s">
        <v>111</v>
      </c>
      <c r="D18" s="4">
        <v>4</v>
      </c>
      <c r="E18" s="4" t="s">
        <v>26</v>
      </c>
      <c r="F18" s="4">
        <v>3891</v>
      </c>
      <c r="G18" s="5">
        <v>10000</v>
      </c>
      <c r="H18" s="3">
        <v>0.05</v>
      </c>
      <c r="I18" s="5">
        <f t="shared" ref="I18:I20" si="6">G18*H18</f>
        <v>500</v>
      </c>
    </row>
    <row r="19" spans="2:9" x14ac:dyDescent="0.25">
      <c r="B19" s="42" t="s">
        <v>237</v>
      </c>
      <c r="C19" s="2" t="s">
        <v>4</v>
      </c>
      <c r="D19" s="4">
        <v>22</v>
      </c>
      <c r="E19" s="4">
        <v>1</v>
      </c>
      <c r="F19" s="4">
        <v>4750066</v>
      </c>
      <c r="G19" s="5">
        <v>902</v>
      </c>
      <c r="H19" s="3">
        <v>0.05</v>
      </c>
      <c r="I19" s="5">
        <f t="shared" si="6"/>
        <v>45.1</v>
      </c>
    </row>
    <row r="20" spans="2:9" x14ac:dyDescent="0.25">
      <c r="B20" s="42" t="s">
        <v>217</v>
      </c>
      <c r="C20" s="2" t="s">
        <v>62</v>
      </c>
      <c r="D20" s="4">
        <v>14</v>
      </c>
      <c r="E20" s="4" t="s">
        <v>24</v>
      </c>
      <c r="F20" s="4">
        <v>3701</v>
      </c>
      <c r="G20" s="5">
        <v>4000</v>
      </c>
      <c r="H20" s="3">
        <v>0.05</v>
      </c>
      <c r="I20" s="5">
        <f t="shared" si="6"/>
        <v>200</v>
      </c>
    </row>
    <row r="21" spans="2:9" x14ac:dyDescent="0.25">
      <c r="B21" s="114" t="s">
        <v>9</v>
      </c>
      <c r="C21" s="115"/>
      <c r="D21" s="115"/>
      <c r="E21" s="115"/>
      <c r="F21" s="115"/>
      <c r="G21" s="115"/>
      <c r="H21" s="116"/>
      <c r="I21" s="9">
        <f>SUM(I6:I20)</f>
        <v>1531.771</v>
      </c>
    </row>
    <row r="22" spans="2:9" ht="16.5" customHeight="1" x14ac:dyDescent="0.25">
      <c r="C22" t="s">
        <v>107</v>
      </c>
    </row>
    <row r="24" spans="2:9" x14ac:dyDescent="0.25">
      <c r="B24" s="117" t="s">
        <v>0</v>
      </c>
      <c r="C24" s="117"/>
      <c r="D24" s="117"/>
      <c r="E24" s="117"/>
      <c r="F24" s="117"/>
      <c r="G24" s="117"/>
      <c r="H24" s="117"/>
      <c r="I24" s="117"/>
    </row>
    <row r="25" spans="2:9" x14ac:dyDescent="0.25">
      <c r="B25" s="118" t="s">
        <v>103</v>
      </c>
      <c r="C25" s="118"/>
      <c r="D25" s="118"/>
      <c r="E25" s="118"/>
      <c r="F25" s="118"/>
      <c r="G25" s="118"/>
      <c r="H25" s="118"/>
      <c r="I25" s="118"/>
    </row>
    <row r="26" spans="2:9" ht="45" x14ac:dyDescent="0.25">
      <c r="B26" s="1" t="s">
        <v>1</v>
      </c>
      <c r="C26" s="1" t="s">
        <v>3</v>
      </c>
      <c r="D26" s="1" t="s">
        <v>2</v>
      </c>
      <c r="E26" s="1" t="s">
        <v>8</v>
      </c>
      <c r="F26" s="1" t="s">
        <v>12</v>
      </c>
      <c r="G26" s="1" t="s">
        <v>5</v>
      </c>
      <c r="H26" s="1" t="s">
        <v>6</v>
      </c>
      <c r="I26" s="1" t="s">
        <v>7</v>
      </c>
    </row>
    <row r="27" spans="2:9" x14ac:dyDescent="0.25">
      <c r="B27" s="42" t="s">
        <v>139</v>
      </c>
      <c r="C27" s="2" t="s">
        <v>15</v>
      </c>
      <c r="D27" s="6" t="s">
        <v>149</v>
      </c>
      <c r="E27" s="4">
        <v>2</v>
      </c>
      <c r="F27" s="4" t="s">
        <v>242</v>
      </c>
      <c r="G27" s="5">
        <v>1611</v>
      </c>
      <c r="H27" s="3">
        <v>0.05</v>
      </c>
      <c r="I27" s="5">
        <f t="shared" ref="I27:I33" si="7">G27*H27</f>
        <v>80.550000000000011</v>
      </c>
    </row>
    <row r="28" spans="2:9" x14ac:dyDescent="0.25">
      <c r="B28" s="42" t="s">
        <v>188</v>
      </c>
      <c r="C28" s="2" t="s">
        <v>48</v>
      </c>
      <c r="D28" s="4">
        <v>12</v>
      </c>
      <c r="E28" s="4">
        <v>3</v>
      </c>
      <c r="F28" s="4">
        <v>444028</v>
      </c>
      <c r="G28" s="5">
        <v>729.2</v>
      </c>
      <c r="H28" s="3">
        <v>0.05</v>
      </c>
      <c r="I28" s="5">
        <f t="shared" si="7"/>
        <v>36.46</v>
      </c>
    </row>
    <row r="29" spans="2:9" x14ac:dyDescent="0.25">
      <c r="B29" s="42" t="s">
        <v>188</v>
      </c>
      <c r="C29" s="2" t="s">
        <v>48</v>
      </c>
      <c r="D29" s="4">
        <v>12</v>
      </c>
      <c r="E29" s="4">
        <v>4</v>
      </c>
      <c r="F29" s="4">
        <v>3051454</v>
      </c>
      <c r="G29" s="5">
        <v>729.2</v>
      </c>
      <c r="H29" s="3">
        <v>0.05</v>
      </c>
      <c r="I29" s="5">
        <f t="shared" ref="I29" si="8">G29*H29</f>
        <v>36.46</v>
      </c>
    </row>
    <row r="30" spans="2:9" x14ac:dyDescent="0.25">
      <c r="B30" s="42" t="s">
        <v>239</v>
      </c>
      <c r="C30" s="2" t="s">
        <v>15</v>
      </c>
      <c r="D30" s="4">
        <v>3</v>
      </c>
      <c r="E30" s="4" t="s">
        <v>21</v>
      </c>
      <c r="F30" s="4" t="s">
        <v>240</v>
      </c>
      <c r="G30" s="5">
        <v>1000</v>
      </c>
      <c r="H30" s="3">
        <v>0.3</v>
      </c>
      <c r="I30" s="5">
        <f t="shared" si="7"/>
        <v>300</v>
      </c>
    </row>
    <row r="31" spans="2:9" x14ac:dyDescent="0.25">
      <c r="B31" s="42" t="s">
        <v>140</v>
      </c>
      <c r="C31" s="2" t="s">
        <v>15</v>
      </c>
      <c r="D31" s="6" t="s">
        <v>187</v>
      </c>
      <c r="E31" s="4">
        <v>2</v>
      </c>
      <c r="F31" s="4" t="s">
        <v>241</v>
      </c>
      <c r="G31" s="5">
        <v>1667</v>
      </c>
      <c r="H31" s="3">
        <v>0.05</v>
      </c>
      <c r="I31" s="5">
        <f t="shared" si="7"/>
        <v>83.350000000000009</v>
      </c>
    </row>
    <row r="32" spans="2:9" x14ac:dyDescent="0.25">
      <c r="B32" s="42" t="s">
        <v>138</v>
      </c>
      <c r="C32" s="2" t="s">
        <v>17</v>
      </c>
      <c r="D32" s="4">
        <v>1</v>
      </c>
      <c r="E32" s="4">
        <v>2</v>
      </c>
      <c r="F32" s="4">
        <v>683</v>
      </c>
      <c r="G32" s="5">
        <v>1660.7</v>
      </c>
      <c r="H32" s="3">
        <v>0.05</v>
      </c>
      <c r="I32" s="5">
        <f t="shared" si="7"/>
        <v>83.035000000000011</v>
      </c>
    </row>
    <row r="33" spans="2:9" x14ac:dyDescent="0.25">
      <c r="B33" s="42" t="s">
        <v>138</v>
      </c>
      <c r="C33" s="2" t="s">
        <v>19</v>
      </c>
      <c r="D33" s="4">
        <v>4</v>
      </c>
      <c r="E33" s="4">
        <v>3</v>
      </c>
      <c r="F33" s="4">
        <v>680</v>
      </c>
      <c r="G33" s="5">
        <v>1125</v>
      </c>
      <c r="H33" s="3">
        <v>0.05</v>
      </c>
      <c r="I33" s="5">
        <f t="shared" si="7"/>
        <v>56.25</v>
      </c>
    </row>
    <row r="34" spans="2:9" x14ac:dyDescent="0.25">
      <c r="I34" s="16">
        <f>SUM(I27:I33)</f>
        <v>676.10500000000002</v>
      </c>
    </row>
    <row r="35" spans="2:9" x14ac:dyDescent="0.25">
      <c r="B35" s="117" t="s">
        <v>0</v>
      </c>
      <c r="C35" s="117"/>
      <c r="D35" s="117"/>
      <c r="E35" s="117"/>
      <c r="F35" s="117"/>
      <c r="G35" s="117"/>
      <c r="H35" s="117"/>
      <c r="I35" s="117"/>
    </row>
    <row r="36" spans="2:9" x14ac:dyDescent="0.25">
      <c r="B36" s="118" t="s">
        <v>190</v>
      </c>
      <c r="C36" s="118"/>
      <c r="D36" s="118"/>
      <c r="E36" s="118"/>
      <c r="F36" s="118"/>
      <c r="G36" s="118"/>
      <c r="H36" s="118"/>
      <c r="I36" s="118"/>
    </row>
    <row r="37" spans="2:9" ht="45" x14ac:dyDescent="0.25">
      <c r="B37" s="1" t="s">
        <v>1</v>
      </c>
      <c r="C37" s="1" t="s">
        <v>3</v>
      </c>
      <c r="D37" s="1" t="s">
        <v>2</v>
      </c>
      <c r="E37" s="1" t="s">
        <v>8</v>
      </c>
      <c r="F37" s="1" t="s">
        <v>12</v>
      </c>
      <c r="G37" s="1" t="s">
        <v>5</v>
      </c>
      <c r="H37" s="1" t="s">
        <v>6</v>
      </c>
      <c r="I37" s="1" t="s">
        <v>7</v>
      </c>
    </row>
    <row r="38" spans="2:9" x14ac:dyDescent="0.25">
      <c r="B38" s="42" t="s">
        <v>189</v>
      </c>
      <c r="C38" s="2" t="s">
        <v>17</v>
      </c>
      <c r="D38" s="6" t="s">
        <v>115</v>
      </c>
      <c r="E38" s="4" t="s">
        <v>24</v>
      </c>
      <c r="F38" s="4">
        <v>9188</v>
      </c>
      <c r="G38" s="5">
        <v>5000</v>
      </c>
      <c r="H38" s="3">
        <v>0.05</v>
      </c>
      <c r="I38" s="5">
        <f t="shared" ref="I38:I52" si="9">G38*H38</f>
        <v>250</v>
      </c>
    </row>
    <row r="39" spans="2:9" x14ac:dyDescent="0.25">
      <c r="B39" s="42" t="s">
        <v>191</v>
      </c>
      <c r="C39" s="2" t="s">
        <v>19</v>
      </c>
      <c r="D39" s="4">
        <v>1</v>
      </c>
      <c r="E39" s="4" t="s">
        <v>24</v>
      </c>
      <c r="F39" s="4">
        <v>3610677</v>
      </c>
      <c r="G39" s="5">
        <v>1000</v>
      </c>
      <c r="H39" s="3">
        <v>0.05</v>
      </c>
      <c r="I39" s="5">
        <f t="shared" si="9"/>
        <v>50</v>
      </c>
    </row>
    <row r="40" spans="2:9" x14ac:dyDescent="0.25">
      <c r="B40" s="42" t="s">
        <v>191</v>
      </c>
      <c r="C40" s="2" t="s">
        <v>19</v>
      </c>
      <c r="D40" s="4">
        <v>1</v>
      </c>
      <c r="E40" s="4" t="s">
        <v>24</v>
      </c>
      <c r="F40" s="4">
        <v>712</v>
      </c>
      <c r="G40" s="5">
        <v>3000</v>
      </c>
      <c r="H40" s="3">
        <v>0.05</v>
      </c>
      <c r="I40" s="5">
        <f t="shared" ref="I40" si="10">G40*H40</f>
        <v>150</v>
      </c>
    </row>
    <row r="41" spans="2:9" x14ac:dyDescent="0.25">
      <c r="B41" s="42" t="s">
        <v>191</v>
      </c>
      <c r="C41" s="2" t="s">
        <v>19</v>
      </c>
      <c r="D41" s="4">
        <v>1</v>
      </c>
      <c r="E41" s="4" t="s">
        <v>21</v>
      </c>
      <c r="F41" s="4">
        <v>3576106</v>
      </c>
      <c r="G41" s="5">
        <v>900</v>
      </c>
      <c r="H41" s="3">
        <v>0.3</v>
      </c>
      <c r="I41" s="5">
        <f t="shared" ref="I41:I43" si="11">G41*H41</f>
        <v>270</v>
      </c>
    </row>
    <row r="42" spans="2:9" x14ac:dyDescent="0.25">
      <c r="B42" s="42" t="s">
        <v>191</v>
      </c>
      <c r="C42" s="2" t="s">
        <v>19</v>
      </c>
      <c r="D42" s="4">
        <v>2</v>
      </c>
      <c r="E42" s="4" t="s">
        <v>21</v>
      </c>
      <c r="F42" s="4">
        <v>714</v>
      </c>
      <c r="G42" s="5">
        <v>100</v>
      </c>
      <c r="H42" s="3">
        <v>0.3</v>
      </c>
      <c r="I42" s="5">
        <f t="shared" ref="I42" si="12">G42*H42</f>
        <v>30</v>
      </c>
    </row>
    <row r="43" spans="2:9" x14ac:dyDescent="0.25">
      <c r="B43" s="42" t="s">
        <v>228</v>
      </c>
      <c r="C43" s="2" t="s">
        <v>19</v>
      </c>
      <c r="D43" s="4" t="s">
        <v>137</v>
      </c>
      <c r="E43" s="4" t="s">
        <v>21</v>
      </c>
      <c r="F43" s="4">
        <v>23894854</v>
      </c>
      <c r="G43" s="5">
        <v>2000</v>
      </c>
      <c r="H43" s="3">
        <v>0.3</v>
      </c>
      <c r="I43" s="5">
        <f t="shared" si="11"/>
        <v>600</v>
      </c>
    </row>
    <row r="44" spans="2:9" x14ac:dyDescent="0.25">
      <c r="B44" s="42" t="s">
        <v>228</v>
      </c>
      <c r="C44" s="2" t="s">
        <v>19</v>
      </c>
      <c r="D44" s="4" t="s">
        <v>137</v>
      </c>
      <c r="E44" s="4" t="s">
        <v>24</v>
      </c>
      <c r="F44" s="4">
        <v>24191133</v>
      </c>
      <c r="G44" s="5">
        <v>3000</v>
      </c>
      <c r="H44" s="3">
        <v>0.05</v>
      </c>
      <c r="I44" s="5">
        <f t="shared" ref="I44" si="13">G44*H44</f>
        <v>150</v>
      </c>
    </row>
    <row r="45" spans="2:9" x14ac:dyDescent="0.25">
      <c r="B45" s="42" t="s">
        <v>228</v>
      </c>
      <c r="C45" s="2" t="s">
        <v>19</v>
      </c>
      <c r="D45" s="4" t="s">
        <v>137</v>
      </c>
      <c r="E45" s="4" t="s">
        <v>24</v>
      </c>
      <c r="F45" s="4">
        <v>24365937</v>
      </c>
      <c r="G45" s="5">
        <v>2000</v>
      </c>
      <c r="H45" s="3">
        <v>0.05</v>
      </c>
      <c r="I45" s="5">
        <f t="shared" ref="I45" si="14">G45*H45</f>
        <v>100</v>
      </c>
    </row>
    <row r="46" spans="2:9" x14ac:dyDescent="0.25">
      <c r="B46" s="42" t="s">
        <v>228</v>
      </c>
      <c r="C46" s="2" t="s">
        <v>19</v>
      </c>
      <c r="D46" s="4" t="s">
        <v>137</v>
      </c>
      <c r="E46" s="4" t="s">
        <v>24</v>
      </c>
      <c r="F46" s="4">
        <v>25000029</v>
      </c>
      <c r="G46" s="5">
        <v>2000</v>
      </c>
      <c r="H46" s="3">
        <v>0.05</v>
      </c>
      <c r="I46" s="5">
        <f t="shared" ref="I46" si="15">G46*H46</f>
        <v>100</v>
      </c>
    </row>
    <row r="47" spans="2:9" x14ac:dyDescent="0.25">
      <c r="B47" s="42" t="s">
        <v>192</v>
      </c>
      <c r="C47" s="2" t="s">
        <v>16</v>
      </c>
      <c r="D47" s="6" t="s">
        <v>169</v>
      </c>
      <c r="E47" s="4" t="s">
        <v>24</v>
      </c>
      <c r="F47" s="4">
        <v>628</v>
      </c>
      <c r="G47" s="5">
        <v>4000</v>
      </c>
      <c r="H47" s="3">
        <v>0.05</v>
      </c>
      <c r="I47" s="5">
        <f t="shared" si="9"/>
        <v>200</v>
      </c>
    </row>
    <row r="48" spans="2:9" x14ac:dyDescent="0.25">
      <c r="B48" s="42" t="s">
        <v>229</v>
      </c>
      <c r="C48" s="2" t="s">
        <v>19</v>
      </c>
      <c r="D48" s="6" t="s">
        <v>230</v>
      </c>
      <c r="E48" s="4" t="s">
        <v>21</v>
      </c>
      <c r="F48" s="4">
        <v>3610677</v>
      </c>
      <c r="G48" s="5">
        <v>1000</v>
      </c>
      <c r="H48" s="3">
        <v>0.3</v>
      </c>
      <c r="I48" s="5">
        <f t="shared" si="9"/>
        <v>300</v>
      </c>
    </row>
    <row r="49" spans="2:10" x14ac:dyDescent="0.25">
      <c r="B49" s="42" t="s">
        <v>231</v>
      </c>
      <c r="C49" s="2" t="s">
        <v>22</v>
      </c>
      <c r="D49" s="6" t="s">
        <v>232</v>
      </c>
      <c r="E49" s="4" t="s">
        <v>21</v>
      </c>
      <c r="F49" s="4">
        <v>1409539</v>
      </c>
      <c r="G49" s="5">
        <v>150</v>
      </c>
      <c r="H49" s="3">
        <v>0.3</v>
      </c>
      <c r="I49" s="5">
        <f t="shared" si="9"/>
        <v>45</v>
      </c>
    </row>
    <row r="50" spans="2:10" x14ac:dyDescent="0.25">
      <c r="B50" s="42" t="s">
        <v>233</v>
      </c>
      <c r="C50" s="2" t="s">
        <v>22</v>
      </c>
      <c r="D50" s="6" t="s">
        <v>234</v>
      </c>
      <c r="E50" s="4" t="s">
        <v>21</v>
      </c>
      <c r="F50" s="4">
        <v>1042750</v>
      </c>
      <c r="G50" s="5">
        <v>50</v>
      </c>
      <c r="H50" s="3">
        <v>0.3</v>
      </c>
      <c r="I50" s="5">
        <f t="shared" si="9"/>
        <v>15</v>
      </c>
    </row>
    <row r="51" spans="2:10" x14ac:dyDescent="0.25">
      <c r="B51" s="42" t="s">
        <v>235</v>
      </c>
      <c r="C51" s="2" t="s">
        <v>15</v>
      </c>
      <c r="D51" s="6" t="s">
        <v>178</v>
      </c>
      <c r="E51" s="4" t="s">
        <v>21</v>
      </c>
      <c r="F51" s="4">
        <v>3024970</v>
      </c>
      <c r="G51" s="5">
        <v>20</v>
      </c>
      <c r="H51" s="3">
        <v>0.3</v>
      </c>
      <c r="I51" s="5">
        <f t="shared" si="9"/>
        <v>6</v>
      </c>
    </row>
    <row r="52" spans="2:10" ht="15.75" thickBot="1" x14ac:dyDescent="0.3">
      <c r="B52" s="42" t="s">
        <v>236</v>
      </c>
      <c r="C52" s="2" t="s">
        <v>19</v>
      </c>
      <c r="D52" s="6" t="s">
        <v>94</v>
      </c>
      <c r="E52" s="4" t="s">
        <v>21</v>
      </c>
      <c r="F52" s="4">
        <v>25062889</v>
      </c>
      <c r="G52" s="5">
        <v>1000</v>
      </c>
      <c r="H52" s="3">
        <v>0.3</v>
      </c>
      <c r="I52" s="74">
        <f t="shared" si="9"/>
        <v>300</v>
      </c>
    </row>
    <row r="53" spans="2:10" ht="15.75" thickBot="1" x14ac:dyDescent="0.3">
      <c r="I53" s="76">
        <f>SUM(I38:I52)</f>
        <v>2566</v>
      </c>
      <c r="J53" s="60">
        <f>SUM(I21+I34+I53)</f>
        <v>4773.8760000000002</v>
      </c>
    </row>
    <row r="56" spans="2:10" x14ac:dyDescent="0.25">
      <c r="B56" s="117" t="s">
        <v>0</v>
      </c>
      <c r="C56" s="117"/>
      <c r="D56" s="117"/>
      <c r="E56" s="117"/>
      <c r="F56" s="117"/>
      <c r="G56" s="117"/>
      <c r="H56" s="117"/>
      <c r="I56" s="117"/>
    </row>
    <row r="57" spans="2:10" x14ac:dyDescent="0.25">
      <c r="B57" s="118" t="s">
        <v>97</v>
      </c>
      <c r="C57" s="118"/>
      <c r="D57" s="118"/>
      <c r="E57" s="118"/>
      <c r="F57" s="118"/>
      <c r="G57" s="118"/>
      <c r="H57" s="118"/>
      <c r="I57" s="118"/>
    </row>
    <row r="58" spans="2:10" ht="45" x14ac:dyDescent="0.25">
      <c r="B58" s="1" t="s">
        <v>1</v>
      </c>
      <c r="C58" s="1" t="s">
        <v>3</v>
      </c>
      <c r="D58" s="1" t="s">
        <v>2</v>
      </c>
      <c r="E58" s="1" t="s">
        <v>8</v>
      </c>
      <c r="F58" s="1" t="s">
        <v>12</v>
      </c>
      <c r="G58" s="1" t="s">
        <v>5</v>
      </c>
      <c r="H58" s="1" t="s">
        <v>6</v>
      </c>
      <c r="I58" s="1" t="s">
        <v>7</v>
      </c>
    </row>
    <row r="59" spans="2:10" x14ac:dyDescent="0.25">
      <c r="B59" s="42" t="s">
        <v>170</v>
      </c>
      <c r="C59" s="2" t="s">
        <v>4</v>
      </c>
      <c r="D59" s="6" t="s">
        <v>171</v>
      </c>
      <c r="E59" s="4">
        <v>1</v>
      </c>
      <c r="F59" s="4">
        <v>131</v>
      </c>
      <c r="G59" s="5">
        <v>3083.3</v>
      </c>
      <c r="H59" s="3">
        <v>0.04</v>
      </c>
      <c r="I59" s="5">
        <f t="shared" ref="I59:I62" si="16">G59*H59</f>
        <v>123.33200000000001</v>
      </c>
    </row>
    <row r="60" spans="2:10" x14ac:dyDescent="0.25">
      <c r="B60" s="42" t="s">
        <v>172</v>
      </c>
      <c r="C60" s="2" t="s">
        <v>48</v>
      </c>
      <c r="D60" s="6" t="s">
        <v>169</v>
      </c>
      <c r="E60" s="4" t="s">
        <v>26</v>
      </c>
      <c r="F60" s="4">
        <v>115</v>
      </c>
      <c r="G60" s="5">
        <v>500</v>
      </c>
      <c r="H60" s="3">
        <v>0.04</v>
      </c>
      <c r="I60" s="5">
        <f t="shared" si="16"/>
        <v>20</v>
      </c>
    </row>
    <row r="61" spans="2:10" x14ac:dyDescent="0.25">
      <c r="B61" s="42" t="s">
        <v>173</v>
      </c>
      <c r="C61" s="2" t="s">
        <v>25</v>
      </c>
      <c r="D61" s="6" t="s">
        <v>58</v>
      </c>
      <c r="E61" s="4">
        <v>2</v>
      </c>
      <c r="F61" s="4">
        <v>137</v>
      </c>
      <c r="G61" s="5">
        <v>1000</v>
      </c>
      <c r="H61" s="3">
        <v>0.04</v>
      </c>
      <c r="I61" s="5">
        <f t="shared" si="16"/>
        <v>40</v>
      </c>
    </row>
    <row r="62" spans="2:10" ht="15.75" thickBot="1" x14ac:dyDescent="0.3">
      <c r="B62" s="42" t="s">
        <v>174</v>
      </c>
      <c r="C62" s="2" t="s">
        <v>19</v>
      </c>
      <c r="D62" s="6" t="s">
        <v>175</v>
      </c>
      <c r="E62" s="4">
        <v>1</v>
      </c>
      <c r="F62" s="4">
        <v>5341</v>
      </c>
      <c r="G62" s="5">
        <v>2075</v>
      </c>
      <c r="H62" s="3">
        <v>0.04</v>
      </c>
      <c r="I62" s="74">
        <f t="shared" si="16"/>
        <v>83</v>
      </c>
    </row>
    <row r="63" spans="2:10" ht="15.75" thickBot="1" x14ac:dyDescent="0.3">
      <c r="I63" s="75">
        <f>SUM(I59:I62)</f>
        <v>266.33199999999999</v>
      </c>
    </row>
    <row r="64" spans="2:10" ht="15.75" thickBot="1" x14ac:dyDescent="0.3">
      <c r="J64" s="60">
        <f>+I63</f>
        <v>266.33199999999999</v>
      </c>
    </row>
  </sheetData>
  <mergeCells count="9">
    <mergeCell ref="B3:I3"/>
    <mergeCell ref="B4:I4"/>
    <mergeCell ref="B21:H21"/>
    <mergeCell ref="B56:I56"/>
    <mergeCell ref="B57:I57"/>
    <mergeCell ref="B35:I35"/>
    <mergeCell ref="B36:I36"/>
    <mergeCell ref="B24:I24"/>
    <mergeCell ref="B25:I25"/>
  </mergeCells>
  <pageMargins left="1" right="1" top="1" bottom="1" header="0.5" footer="0.5"/>
  <pageSetup paperSize="9" scale="52" fitToHeight="0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7EF6-2250-4A75-8DFD-DED6B5E7DFBF}">
  <sheetPr>
    <pageSetUpPr fitToPage="1"/>
  </sheetPr>
  <dimension ref="B3:J20"/>
  <sheetViews>
    <sheetView topLeftCell="A31" workbookViewId="0">
      <selection activeCell="G25" sqref="G25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32</v>
      </c>
      <c r="C6" s="2" t="s">
        <v>22</v>
      </c>
      <c r="D6" s="6" t="s">
        <v>38</v>
      </c>
      <c r="E6" s="4">
        <v>7</v>
      </c>
      <c r="F6" s="4">
        <v>1876</v>
      </c>
      <c r="G6" s="5">
        <v>2812.2</v>
      </c>
      <c r="H6" s="3">
        <v>0.05</v>
      </c>
      <c r="I6" s="5">
        <f t="shared" ref="I6" si="0">G6*H6</f>
        <v>140.60999999999999</v>
      </c>
    </row>
    <row r="7" spans="2:10" ht="15.75" thickBot="1" x14ac:dyDescent="0.3">
      <c r="B7" s="2"/>
      <c r="C7" s="2"/>
      <c r="D7" s="4"/>
      <c r="E7" s="4"/>
      <c r="F7" s="4"/>
      <c r="G7" s="5"/>
      <c r="H7" s="3"/>
      <c r="I7" s="5">
        <f t="shared" ref="I7" si="1">G7*H7</f>
        <v>0</v>
      </c>
    </row>
    <row r="8" spans="2:10" ht="15.75" thickBot="1" x14ac:dyDescent="0.3">
      <c r="B8" s="114" t="s">
        <v>9</v>
      </c>
      <c r="C8" s="115"/>
      <c r="D8" s="115"/>
      <c r="E8" s="115"/>
      <c r="F8" s="115"/>
      <c r="G8" s="115"/>
      <c r="H8" s="116"/>
      <c r="I8" s="7">
        <f>SUM(I6:I7)</f>
        <v>140.60999999999999</v>
      </c>
      <c r="J8" s="13">
        <f>+I8</f>
        <v>140.60999999999999</v>
      </c>
    </row>
    <row r="9" spans="2:10" ht="16.5" customHeight="1" x14ac:dyDescent="0.25"/>
    <row r="10" spans="2:10" ht="16.5" customHeight="1" x14ac:dyDescent="0.25"/>
    <row r="12" spans="2:10" x14ac:dyDescent="0.25">
      <c r="B12" s="117" t="s">
        <v>0</v>
      </c>
      <c r="C12" s="117"/>
      <c r="D12" s="117"/>
      <c r="E12" s="117"/>
      <c r="F12" s="117"/>
      <c r="G12" s="117"/>
      <c r="H12" s="117"/>
      <c r="I12" s="117"/>
    </row>
    <row r="13" spans="2:10" x14ac:dyDescent="0.25">
      <c r="B13" s="118" t="s">
        <v>13</v>
      </c>
      <c r="C13" s="118"/>
      <c r="D13" s="118"/>
      <c r="E13" s="118"/>
      <c r="F13" s="118"/>
      <c r="G13" s="118"/>
      <c r="H13" s="118"/>
      <c r="I13" s="118"/>
    </row>
    <row r="14" spans="2:10" ht="60" x14ac:dyDescent="0.25">
      <c r="B14" s="1" t="s">
        <v>1</v>
      </c>
      <c r="C14" s="1" t="s">
        <v>3</v>
      </c>
      <c r="D14" s="1" t="s">
        <v>2</v>
      </c>
      <c r="E14" s="1" t="s">
        <v>8</v>
      </c>
      <c r="F14" s="1" t="s">
        <v>12</v>
      </c>
      <c r="G14" s="1" t="s">
        <v>5</v>
      </c>
      <c r="H14" s="1" t="s">
        <v>6</v>
      </c>
      <c r="I14" s="1" t="s">
        <v>7</v>
      </c>
    </row>
    <row r="15" spans="2:10" x14ac:dyDescent="0.25">
      <c r="B15" s="2" t="s">
        <v>33</v>
      </c>
      <c r="C15" s="4" t="s">
        <v>17</v>
      </c>
      <c r="D15" s="4">
        <v>7</v>
      </c>
      <c r="E15" s="4">
        <v>13</v>
      </c>
      <c r="F15" s="4" t="s">
        <v>39</v>
      </c>
      <c r="G15" s="5">
        <v>1058</v>
      </c>
      <c r="H15" s="3">
        <v>0.05</v>
      </c>
      <c r="I15" s="5">
        <f t="shared" ref="I15:I19" si="2">G15*H15</f>
        <v>52.900000000000006</v>
      </c>
    </row>
    <row r="16" spans="2:10" x14ac:dyDescent="0.25">
      <c r="B16" s="2"/>
      <c r="C16" s="4"/>
      <c r="D16" s="4"/>
      <c r="E16" s="4"/>
      <c r="F16" s="4"/>
      <c r="G16" s="5"/>
      <c r="H16" s="3"/>
      <c r="I16" s="5">
        <f t="shared" si="2"/>
        <v>0</v>
      </c>
    </row>
    <row r="17" spans="2:10" x14ac:dyDescent="0.25">
      <c r="B17" s="2"/>
      <c r="C17" s="4"/>
      <c r="D17" s="4"/>
      <c r="E17" s="4"/>
      <c r="F17" s="4"/>
      <c r="G17" s="5"/>
      <c r="H17" s="3"/>
      <c r="I17" s="5">
        <f t="shared" si="2"/>
        <v>0</v>
      </c>
    </row>
    <row r="18" spans="2:10" x14ac:dyDescent="0.25">
      <c r="B18" s="2"/>
      <c r="C18" s="4"/>
      <c r="D18" s="4"/>
      <c r="E18" s="4"/>
      <c r="F18" s="4"/>
      <c r="G18" s="5"/>
      <c r="H18" s="3"/>
      <c r="I18" s="5">
        <f t="shared" si="2"/>
        <v>0</v>
      </c>
    </row>
    <row r="19" spans="2:10" ht="15.75" thickBot="1" x14ac:dyDescent="0.3">
      <c r="B19" s="2"/>
      <c r="C19" s="4"/>
      <c r="D19" s="4"/>
      <c r="E19" s="4"/>
      <c r="F19" s="4"/>
      <c r="G19" s="5"/>
      <c r="H19" s="3"/>
      <c r="I19" s="5">
        <f t="shared" si="2"/>
        <v>0</v>
      </c>
    </row>
    <row r="20" spans="2:10" ht="15.75" thickBot="1" x14ac:dyDescent="0.3">
      <c r="B20" s="114" t="s">
        <v>9</v>
      </c>
      <c r="C20" s="115"/>
      <c r="D20" s="115"/>
      <c r="E20" s="115"/>
      <c r="F20" s="115"/>
      <c r="G20" s="115"/>
      <c r="H20" s="116"/>
      <c r="I20" s="9">
        <f>SUM(I15:I19)</f>
        <v>52.900000000000006</v>
      </c>
      <c r="J20" s="13">
        <f>+I20</f>
        <v>52.900000000000006</v>
      </c>
    </row>
  </sheetData>
  <mergeCells count="6">
    <mergeCell ref="B12:I12"/>
    <mergeCell ref="B13:I13"/>
    <mergeCell ref="B20:H20"/>
    <mergeCell ref="B3:I3"/>
    <mergeCell ref="B4:I4"/>
    <mergeCell ref="B8:H8"/>
  </mergeCells>
  <pageMargins left="0.7" right="0.7" top="0.75" bottom="0.75" header="0.3" footer="0.3"/>
  <pageSetup scale="63" fitToHeight="0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1EAC-2480-43DD-9C06-A54472F56795}">
  <sheetPr>
    <pageSetUpPr fitToPage="1"/>
  </sheetPr>
  <dimension ref="B3:J64"/>
  <sheetViews>
    <sheetView tabSelected="1" workbookViewId="0">
      <selection sqref="A1:XFD1048576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8.57031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9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9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9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9" x14ac:dyDescent="0.25">
      <c r="B6" s="42" t="s">
        <v>141</v>
      </c>
      <c r="C6" s="2" t="s">
        <v>4</v>
      </c>
      <c r="D6" s="4">
        <v>7</v>
      </c>
      <c r="E6" s="4">
        <v>8</v>
      </c>
      <c r="F6" s="4">
        <v>428067</v>
      </c>
      <c r="G6" s="5">
        <v>282.60000000000002</v>
      </c>
      <c r="H6" s="3">
        <v>0.05</v>
      </c>
      <c r="I6" s="5">
        <f t="shared" ref="I6" si="0">G6*H6</f>
        <v>14.130000000000003</v>
      </c>
    </row>
    <row r="7" spans="2:9" x14ac:dyDescent="0.25">
      <c r="B7" s="42" t="s">
        <v>141</v>
      </c>
      <c r="C7" s="2" t="s">
        <v>4</v>
      </c>
      <c r="D7" s="4">
        <v>7</v>
      </c>
      <c r="E7" s="4">
        <v>8</v>
      </c>
      <c r="F7" s="4">
        <v>5311368</v>
      </c>
      <c r="G7" s="5">
        <v>500</v>
      </c>
      <c r="H7" s="3">
        <v>0.05</v>
      </c>
      <c r="I7" s="5">
        <f t="shared" ref="I7" si="1">G7*H7</f>
        <v>25</v>
      </c>
    </row>
    <row r="8" spans="2:9" x14ac:dyDescent="0.25">
      <c r="B8" s="42" t="s">
        <v>142</v>
      </c>
      <c r="C8" s="2" t="s">
        <v>4</v>
      </c>
      <c r="D8" s="4">
        <v>10</v>
      </c>
      <c r="E8" s="4">
        <v>9</v>
      </c>
      <c r="F8" s="4">
        <v>4114</v>
      </c>
      <c r="G8" s="5">
        <v>370</v>
      </c>
      <c r="H8" s="3">
        <v>0.05</v>
      </c>
      <c r="I8" s="5">
        <f t="shared" ref="I8" si="2">G8*H8</f>
        <v>18.5</v>
      </c>
    </row>
    <row r="9" spans="2:9" x14ac:dyDescent="0.25">
      <c r="B9" s="42" t="s">
        <v>142</v>
      </c>
      <c r="C9" s="2" t="s">
        <v>4</v>
      </c>
      <c r="D9" s="4">
        <v>10</v>
      </c>
      <c r="E9" s="4">
        <v>9</v>
      </c>
      <c r="F9" s="4">
        <v>4113</v>
      </c>
      <c r="G9" s="5">
        <v>500</v>
      </c>
      <c r="H9" s="3">
        <v>0.05</v>
      </c>
      <c r="I9" s="5">
        <f t="shared" ref="I9" si="3">G9*H9</f>
        <v>25</v>
      </c>
    </row>
    <row r="10" spans="2:9" x14ac:dyDescent="0.25">
      <c r="B10" s="42" t="s">
        <v>90</v>
      </c>
      <c r="C10" s="2" t="s">
        <v>16</v>
      </c>
      <c r="D10" s="4">
        <v>2</v>
      </c>
      <c r="E10" s="4">
        <v>10</v>
      </c>
      <c r="F10" s="4">
        <v>4087</v>
      </c>
      <c r="G10" s="5">
        <v>730</v>
      </c>
      <c r="H10" s="3">
        <v>0.05</v>
      </c>
      <c r="I10" s="5">
        <f t="shared" ref="I10" si="4">G10*H10</f>
        <v>36.5</v>
      </c>
    </row>
    <row r="11" spans="2:9" x14ac:dyDescent="0.25">
      <c r="B11" s="73" t="s">
        <v>152</v>
      </c>
      <c r="C11" s="21" t="s">
        <v>48</v>
      </c>
      <c r="D11" s="12">
        <v>5</v>
      </c>
      <c r="E11" s="12">
        <v>9</v>
      </c>
      <c r="F11" s="12">
        <v>608</v>
      </c>
      <c r="G11" s="19">
        <v>2000</v>
      </c>
      <c r="H11" s="20">
        <v>0.05</v>
      </c>
      <c r="I11" s="7">
        <f t="shared" ref="I11:I13" si="5">G11*H11</f>
        <v>100</v>
      </c>
    </row>
    <row r="12" spans="2:9" x14ac:dyDescent="0.25">
      <c r="B12" s="73" t="s">
        <v>244</v>
      </c>
      <c r="C12" s="21" t="s">
        <v>15</v>
      </c>
      <c r="D12" s="12">
        <v>1</v>
      </c>
      <c r="E12" s="12" t="s">
        <v>9</v>
      </c>
      <c r="F12" s="12">
        <v>4077</v>
      </c>
      <c r="G12" s="19">
        <v>12500</v>
      </c>
      <c r="H12" s="20">
        <v>0.05</v>
      </c>
      <c r="I12" s="7">
        <f t="shared" si="5"/>
        <v>625</v>
      </c>
    </row>
    <row r="13" spans="2:9" x14ac:dyDescent="0.25">
      <c r="B13" s="73" t="s">
        <v>75</v>
      </c>
      <c r="C13" s="21" t="s">
        <v>29</v>
      </c>
      <c r="D13" s="12">
        <v>10</v>
      </c>
      <c r="E13" s="12">
        <v>12</v>
      </c>
      <c r="F13" s="12">
        <v>0</v>
      </c>
      <c r="G13" s="19">
        <v>1000</v>
      </c>
      <c r="H13" s="20">
        <v>0.05</v>
      </c>
      <c r="I13" s="7">
        <f t="shared" si="5"/>
        <v>50</v>
      </c>
    </row>
    <row r="14" spans="2:9" x14ac:dyDescent="0.25">
      <c r="B14" s="114" t="s">
        <v>9</v>
      </c>
      <c r="C14" s="115"/>
      <c r="D14" s="115"/>
      <c r="E14" s="115"/>
      <c r="F14" s="115"/>
      <c r="G14" s="115"/>
      <c r="H14" s="116"/>
      <c r="I14" s="9">
        <f>SUM(I6:I13)</f>
        <v>894.13</v>
      </c>
    </row>
    <row r="15" spans="2:9" ht="16.5" customHeight="1" x14ac:dyDescent="0.25"/>
    <row r="16" spans="2:9" ht="16.5" customHeight="1" x14ac:dyDescent="0.25"/>
    <row r="17" spans="2:9" x14ac:dyDescent="0.25">
      <c r="B17" s="117" t="s">
        <v>0</v>
      </c>
      <c r="C17" s="117"/>
      <c r="D17" s="117"/>
      <c r="E17" s="117"/>
      <c r="F17" s="117"/>
      <c r="G17" s="117"/>
      <c r="H17" s="117"/>
      <c r="I17" s="117"/>
    </row>
    <row r="18" spans="2:9" x14ac:dyDescent="0.25">
      <c r="B18" s="118" t="s">
        <v>143</v>
      </c>
      <c r="C18" s="118"/>
      <c r="D18" s="118"/>
      <c r="E18" s="118"/>
      <c r="F18" s="118"/>
      <c r="G18" s="118"/>
      <c r="H18" s="118"/>
      <c r="I18" s="118"/>
    </row>
    <row r="19" spans="2:9" ht="60" x14ac:dyDescent="0.25">
      <c r="B19" s="1" t="s">
        <v>1</v>
      </c>
      <c r="C19" s="1" t="s">
        <v>3</v>
      </c>
      <c r="D19" s="1" t="s">
        <v>2</v>
      </c>
      <c r="E19" s="1" t="s">
        <v>8</v>
      </c>
      <c r="F19" s="1" t="s">
        <v>12</v>
      </c>
      <c r="G19" s="1" t="s">
        <v>5</v>
      </c>
      <c r="H19" s="1" t="s">
        <v>6</v>
      </c>
      <c r="I19" s="1" t="s">
        <v>7</v>
      </c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73" t="s">
        <v>193</v>
      </c>
      <c r="C21" s="21" t="s">
        <v>22</v>
      </c>
      <c r="D21" s="18" t="s">
        <v>194</v>
      </c>
      <c r="E21" s="12">
        <v>1</v>
      </c>
      <c r="F21" s="12" t="s">
        <v>249</v>
      </c>
      <c r="G21" s="19">
        <v>875</v>
      </c>
      <c r="H21" s="20">
        <v>0.05</v>
      </c>
      <c r="I21" s="5">
        <f t="shared" ref="I21" si="6">G21*H21</f>
        <v>43.75</v>
      </c>
    </row>
    <row r="22" spans="2:9" x14ac:dyDescent="0.25">
      <c r="B22" s="73" t="s">
        <v>87</v>
      </c>
      <c r="C22" s="21" t="s">
        <v>48</v>
      </c>
      <c r="D22" s="18" t="s">
        <v>94</v>
      </c>
      <c r="E22" s="12">
        <v>4</v>
      </c>
      <c r="F22" s="12" t="s">
        <v>248</v>
      </c>
      <c r="G22" s="19">
        <v>630.20000000000005</v>
      </c>
      <c r="H22" s="20">
        <v>0.05</v>
      </c>
      <c r="I22" s="5">
        <f t="shared" ref="I22:I26" si="7">G22*H22</f>
        <v>31.510000000000005</v>
      </c>
    </row>
    <row r="23" spans="2:9" x14ac:dyDescent="0.25">
      <c r="B23" s="73" t="s">
        <v>246</v>
      </c>
      <c r="C23" s="21" t="s">
        <v>4</v>
      </c>
      <c r="D23" s="18" t="s">
        <v>165</v>
      </c>
      <c r="E23" s="12" t="s">
        <v>21</v>
      </c>
      <c r="F23" s="12" t="s">
        <v>247</v>
      </c>
      <c r="G23" s="19">
        <v>1000</v>
      </c>
      <c r="H23" s="20">
        <v>0.3</v>
      </c>
      <c r="I23" s="5">
        <f t="shared" si="7"/>
        <v>300</v>
      </c>
    </row>
    <row r="24" spans="2:9" x14ac:dyDescent="0.25">
      <c r="B24" s="73" t="s">
        <v>246</v>
      </c>
      <c r="C24" s="21" t="s">
        <v>4</v>
      </c>
      <c r="D24" s="18" t="s">
        <v>165</v>
      </c>
      <c r="E24" s="12" t="s">
        <v>24</v>
      </c>
      <c r="F24" s="12">
        <v>838809</v>
      </c>
      <c r="G24" s="19">
        <v>5000</v>
      </c>
      <c r="H24" s="20">
        <v>0.05</v>
      </c>
      <c r="I24" s="5">
        <f t="shared" ref="I24:I25" si="8">G24*H24</f>
        <v>250</v>
      </c>
    </row>
    <row r="25" spans="2:9" x14ac:dyDescent="0.25">
      <c r="B25" s="73" t="s">
        <v>246</v>
      </c>
      <c r="C25" s="21" t="s">
        <v>4</v>
      </c>
      <c r="D25" s="18" t="s">
        <v>165</v>
      </c>
      <c r="E25" s="12">
        <v>1</v>
      </c>
      <c r="F25" s="12">
        <v>26247</v>
      </c>
      <c r="G25" s="19">
        <v>1000</v>
      </c>
      <c r="H25" s="20">
        <v>0.05</v>
      </c>
      <c r="I25" s="5">
        <f t="shared" si="8"/>
        <v>50</v>
      </c>
    </row>
    <row r="26" spans="2:9" x14ac:dyDescent="0.25">
      <c r="B26" s="73" t="s">
        <v>85</v>
      </c>
      <c r="C26" s="21" t="s">
        <v>16</v>
      </c>
      <c r="D26" s="18" t="s">
        <v>86</v>
      </c>
      <c r="E26" s="12">
        <v>4</v>
      </c>
      <c r="F26" s="12" t="s">
        <v>250</v>
      </c>
      <c r="G26" s="19">
        <v>640</v>
      </c>
      <c r="H26" s="20">
        <v>0.05</v>
      </c>
      <c r="I26" s="5">
        <f t="shared" si="7"/>
        <v>32</v>
      </c>
    </row>
    <row r="27" spans="2:9" x14ac:dyDescent="0.25">
      <c r="B27" s="114" t="s">
        <v>9</v>
      </c>
      <c r="C27" s="115"/>
      <c r="D27" s="115"/>
      <c r="E27" s="115"/>
      <c r="F27" s="115"/>
      <c r="G27" s="115"/>
      <c r="H27" s="116"/>
      <c r="I27" s="11">
        <f>SUM(I21:I26)</f>
        <v>707.26</v>
      </c>
    </row>
    <row r="28" spans="2:9" ht="16.5" customHeight="1" x14ac:dyDescent="0.25"/>
    <row r="29" spans="2:9" ht="16.5" customHeight="1" x14ac:dyDescent="0.25"/>
    <row r="30" spans="2:9" x14ac:dyDescent="0.25">
      <c r="B30" s="117" t="s">
        <v>0</v>
      </c>
      <c r="C30" s="117"/>
      <c r="D30" s="117"/>
      <c r="E30" s="117"/>
      <c r="F30" s="117"/>
      <c r="G30" s="117"/>
      <c r="H30" s="117"/>
      <c r="I30" s="117"/>
    </row>
    <row r="31" spans="2:9" x14ac:dyDescent="0.25">
      <c r="B31" s="118" t="s">
        <v>30</v>
      </c>
      <c r="C31" s="118"/>
      <c r="D31" s="118"/>
      <c r="E31" s="118"/>
      <c r="F31" s="118"/>
      <c r="G31" s="118"/>
      <c r="H31" s="118"/>
      <c r="I31" s="118"/>
    </row>
    <row r="32" spans="2:9" ht="60" x14ac:dyDescent="0.25">
      <c r="B32" s="1" t="s">
        <v>1</v>
      </c>
      <c r="C32" s="1" t="s">
        <v>3</v>
      </c>
      <c r="D32" s="1" t="s">
        <v>2</v>
      </c>
      <c r="E32" s="1" t="s">
        <v>8</v>
      </c>
      <c r="F32" s="1" t="s">
        <v>12</v>
      </c>
      <c r="G32" s="1" t="s">
        <v>5</v>
      </c>
      <c r="H32" s="1" t="s">
        <v>6</v>
      </c>
      <c r="I32" s="1" t="s">
        <v>7</v>
      </c>
    </row>
    <row r="33" spans="2:10" x14ac:dyDescent="0.25">
      <c r="B33" s="1"/>
      <c r="C33" s="1"/>
      <c r="D33" s="1"/>
      <c r="E33" s="1"/>
      <c r="F33" s="1"/>
      <c r="G33" s="1"/>
      <c r="H33" s="1"/>
      <c r="I33" s="1"/>
    </row>
    <row r="34" spans="2:10" x14ac:dyDescent="0.25">
      <c r="B34" s="73" t="s">
        <v>92</v>
      </c>
      <c r="C34" s="12" t="s">
        <v>37</v>
      </c>
      <c r="D34" s="18" t="s">
        <v>88</v>
      </c>
      <c r="E34" s="12">
        <v>5</v>
      </c>
      <c r="F34" s="12">
        <v>5731970</v>
      </c>
      <c r="G34" s="19">
        <v>531.20000000000005</v>
      </c>
      <c r="H34" s="20">
        <v>0.05</v>
      </c>
      <c r="I34" s="5">
        <f t="shared" ref="I34:I37" si="9">G34*H34</f>
        <v>26.560000000000002</v>
      </c>
    </row>
    <row r="35" spans="2:10" x14ac:dyDescent="0.25">
      <c r="B35" s="73" t="s">
        <v>245</v>
      </c>
      <c r="C35" s="12" t="s">
        <v>37</v>
      </c>
      <c r="D35" s="18" t="s">
        <v>58</v>
      </c>
      <c r="E35" s="12">
        <v>1</v>
      </c>
      <c r="F35" s="12">
        <v>2963213</v>
      </c>
      <c r="G35" s="19">
        <v>502</v>
      </c>
      <c r="H35" s="20">
        <v>0.05</v>
      </c>
      <c r="I35" s="5">
        <f t="shared" si="9"/>
        <v>25.1</v>
      </c>
    </row>
    <row r="36" spans="2:10" x14ac:dyDescent="0.25">
      <c r="B36" s="73" t="s">
        <v>245</v>
      </c>
      <c r="C36" s="12" t="s">
        <v>19</v>
      </c>
      <c r="D36" s="18" t="s">
        <v>88</v>
      </c>
      <c r="E36" s="12">
        <v>1</v>
      </c>
      <c r="F36" s="12">
        <v>7613344</v>
      </c>
      <c r="G36" s="19">
        <v>502</v>
      </c>
      <c r="H36" s="20">
        <v>0.05</v>
      </c>
      <c r="I36" s="5">
        <f t="shared" ref="I36" si="10">G36*H36</f>
        <v>25.1</v>
      </c>
    </row>
    <row r="37" spans="2:10" x14ac:dyDescent="0.25">
      <c r="B37" s="73" t="s">
        <v>195</v>
      </c>
      <c r="C37" s="12" t="s">
        <v>37</v>
      </c>
      <c r="D37" s="18" t="s">
        <v>91</v>
      </c>
      <c r="E37" s="12">
        <v>3</v>
      </c>
      <c r="F37" s="12">
        <v>978</v>
      </c>
      <c r="G37" s="19">
        <v>500</v>
      </c>
      <c r="H37" s="20">
        <v>0.05</v>
      </c>
      <c r="I37" s="5">
        <f t="shared" si="9"/>
        <v>25</v>
      </c>
    </row>
    <row r="38" spans="2:10" x14ac:dyDescent="0.25">
      <c r="B38" s="73" t="s">
        <v>195</v>
      </c>
      <c r="C38" s="12" t="s">
        <v>37</v>
      </c>
      <c r="D38" s="18" t="s">
        <v>91</v>
      </c>
      <c r="E38" s="12">
        <v>3</v>
      </c>
      <c r="F38" s="12">
        <v>979</v>
      </c>
      <c r="G38" s="19">
        <v>91.6</v>
      </c>
      <c r="H38" s="20">
        <v>0.05</v>
      </c>
      <c r="I38" s="5">
        <f t="shared" ref="I38" si="11">G38*H38</f>
        <v>4.58</v>
      </c>
    </row>
    <row r="39" spans="2:10" x14ac:dyDescent="0.25">
      <c r="B39" s="73" t="s">
        <v>144</v>
      </c>
      <c r="C39" s="12" t="s">
        <v>15</v>
      </c>
      <c r="D39" s="18" t="s">
        <v>145</v>
      </c>
      <c r="E39" s="12">
        <v>5</v>
      </c>
      <c r="F39" s="12">
        <v>374960</v>
      </c>
      <c r="G39" s="19">
        <v>1000</v>
      </c>
      <c r="H39" s="20">
        <v>0.05</v>
      </c>
      <c r="I39" s="5">
        <f t="shared" ref="I39" si="12">G39*H39</f>
        <v>50</v>
      </c>
    </row>
    <row r="40" spans="2:10" x14ac:dyDescent="0.25">
      <c r="B40" s="114" t="s">
        <v>9</v>
      </c>
      <c r="C40" s="115"/>
      <c r="D40" s="115"/>
      <c r="E40" s="115"/>
      <c r="F40" s="115"/>
      <c r="G40" s="115"/>
      <c r="H40" s="116"/>
      <c r="I40" s="9">
        <f>SUM(I34:I39)</f>
        <v>156.34</v>
      </c>
    </row>
    <row r="42" spans="2:10" x14ac:dyDescent="0.25">
      <c r="B42" s="117" t="s">
        <v>0</v>
      </c>
      <c r="C42" s="117"/>
      <c r="D42" s="117"/>
      <c r="E42" s="117"/>
      <c r="F42" s="117"/>
      <c r="G42" s="117"/>
      <c r="H42" s="117"/>
      <c r="I42" s="117"/>
    </row>
    <row r="43" spans="2:10" x14ac:dyDescent="0.25">
      <c r="B43" s="118" t="s">
        <v>78</v>
      </c>
      <c r="C43" s="118"/>
      <c r="D43" s="118"/>
      <c r="E43" s="118"/>
      <c r="F43" s="118"/>
      <c r="G43" s="118"/>
      <c r="H43" s="118"/>
      <c r="I43" s="118"/>
    </row>
    <row r="44" spans="2:10" ht="60" x14ac:dyDescent="0.25">
      <c r="B44" s="1" t="s">
        <v>1</v>
      </c>
      <c r="C44" s="1" t="s">
        <v>3</v>
      </c>
      <c r="D44" s="1" t="s">
        <v>2</v>
      </c>
      <c r="E44" s="1" t="s">
        <v>8</v>
      </c>
      <c r="F44" s="1" t="s">
        <v>12</v>
      </c>
      <c r="G44" s="1" t="s">
        <v>5</v>
      </c>
      <c r="H44" s="1" t="s">
        <v>6</v>
      </c>
      <c r="I44" s="1" t="s">
        <v>7</v>
      </c>
    </row>
    <row r="45" spans="2:10" x14ac:dyDescent="0.25">
      <c r="B45" s="78" t="s">
        <v>243</v>
      </c>
      <c r="C45" s="36" t="s">
        <v>4</v>
      </c>
      <c r="D45" s="41" t="s">
        <v>205</v>
      </c>
      <c r="E45" s="37">
        <v>3</v>
      </c>
      <c r="F45" s="37">
        <v>6081802</v>
      </c>
      <c r="G45" s="74">
        <v>841.3</v>
      </c>
      <c r="H45" s="39">
        <v>0.05</v>
      </c>
      <c r="I45" s="5">
        <f t="shared" ref="I45" si="13">G45*H45</f>
        <v>42.064999999999998</v>
      </c>
    </row>
    <row r="46" spans="2:10" x14ac:dyDescent="0.25">
      <c r="B46" s="114" t="s">
        <v>9</v>
      </c>
      <c r="C46" s="115"/>
      <c r="D46" s="115"/>
      <c r="E46" s="115"/>
      <c r="F46" s="115"/>
      <c r="G46" s="115"/>
      <c r="H46" s="116"/>
      <c r="I46" s="77">
        <f>SUM(I45:I45)</f>
        <v>42.064999999999998</v>
      </c>
      <c r="J46" s="79"/>
    </row>
    <row r="50" spans="2:10" x14ac:dyDescent="0.25">
      <c r="B50" s="117" t="s">
        <v>0</v>
      </c>
      <c r="C50" s="117"/>
      <c r="D50" s="117"/>
      <c r="E50" s="117"/>
      <c r="F50" s="117"/>
      <c r="G50" s="117"/>
      <c r="H50" s="117"/>
      <c r="I50" s="117"/>
    </row>
    <row r="51" spans="2:10" x14ac:dyDescent="0.25">
      <c r="B51" s="118" t="s">
        <v>13</v>
      </c>
      <c r="C51" s="118"/>
      <c r="D51" s="118"/>
      <c r="E51" s="118"/>
      <c r="F51" s="118"/>
      <c r="G51" s="118"/>
      <c r="H51" s="118"/>
      <c r="I51" s="118"/>
    </row>
    <row r="52" spans="2:10" ht="60" x14ac:dyDescent="0.25">
      <c r="B52" s="1" t="s">
        <v>1</v>
      </c>
      <c r="C52" s="1" t="s">
        <v>3</v>
      </c>
      <c r="D52" s="1" t="s">
        <v>2</v>
      </c>
      <c r="E52" s="1" t="s">
        <v>8</v>
      </c>
      <c r="F52" s="1" t="s">
        <v>12</v>
      </c>
      <c r="G52" s="1" t="s">
        <v>5</v>
      </c>
      <c r="H52" s="1" t="s">
        <v>6</v>
      </c>
      <c r="I52" s="1" t="s">
        <v>7</v>
      </c>
    </row>
    <row r="53" spans="2:10" x14ac:dyDescent="0.25">
      <c r="B53" s="2" t="s">
        <v>251</v>
      </c>
      <c r="C53" s="4" t="s">
        <v>22</v>
      </c>
      <c r="D53" s="4">
        <v>10</v>
      </c>
      <c r="E53" s="4">
        <v>17</v>
      </c>
      <c r="F53" s="4">
        <v>588</v>
      </c>
      <c r="G53" s="5">
        <v>1700</v>
      </c>
      <c r="H53" s="3">
        <v>4.4999999999999998E-2</v>
      </c>
      <c r="I53" s="5">
        <f t="shared" ref="I53" si="14">G53*H53</f>
        <v>76.5</v>
      </c>
    </row>
    <row r="54" spans="2:10" x14ac:dyDescent="0.25">
      <c r="B54" s="2" t="s">
        <v>251</v>
      </c>
      <c r="C54" s="4" t="s">
        <v>22</v>
      </c>
      <c r="D54" s="4">
        <v>10</v>
      </c>
      <c r="E54" s="4">
        <v>18</v>
      </c>
      <c r="F54" s="4">
        <v>590</v>
      </c>
      <c r="G54" s="5">
        <v>1700</v>
      </c>
      <c r="H54" s="3">
        <v>4.4999999999999998E-2</v>
      </c>
      <c r="I54" s="5">
        <f t="shared" ref="I54" si="15">G54*H54</f>
        <v>76.5</v>
      </c>
    </row>
    <row r="55" spans="2:10" ht="15.75" thickBot="1" x14ac:dyDescent="0.3">
      <c r="B55" s="114" t="s">
        <v>9</v>
      </c>
      <c r="C55" s="115"/>
      <c r="D55" s="115"/>
      <c r="E55" s="115"/>
      <c r="F55" s="115"/>
      <c r="G55" s="115"/>
      <c r="H55" s="116"/>
      <c r="I55" s="9">
        <f>SUM(I53:I54)</f>
        <v>153</v>
      </c>
    </row>
    <row r="56" spans="2:10" ht="15.75" thickBot="1" x14ac:dyDescent="0.3">
      <c r="J56" s="13">
        <f>SUM(I14+I27+I40+I46+I55)</f>
        <v>1952.7949999999998</v>
      </c>
    </row>
    <row r="58" spans="2:10" x14ac:dyDescent="0.25">
      <c r="B58" s="117" t="s">
        <v>0</v>
      </c>
      <c r="C58" s="117"/>
      <c r="D58" s="117"/>
      <c r="E58" s="117"/>
      <c r="F58" s="117"/>
      <c r="G58" s="117"/>
      <c r="H58" s="117"/>
      <c r="I58" s="117"/>
    </row>
    <row r="59" spans="2:10" x14ac:dyDescent="0.25">
      <c r="B59" s="118" t="s">
        <v>176</v>
      </c>
      <c r="C59" s="118"/>
      <c r="D59" s="118"/>
      <c r="E59" s="118"/>
      <c r="F59" s="118"/>
      <c r="G59" s="118"/>
      <c r="H59" s="118"/>
      <c r="I59" s="118"/>
    </row>
    <row r="60" spans="2:10" ht="60" x14ac:dyDescent="0.25">
      <c r="B60" s="1" t="s">
        <v>1</v>
      </c>
      <c r="C60" s="1" t="s">
        <v>3</v>
      </c>
      <c r="D60" s="1" t="s">
        <v>2</v>
      </c>
      <c r="E60" s="1" t="s">
        <v>8</v>
      </c>
      <c r="F60" s="1" t="s">
        <v>12</v>
      </c>
      <c r="G60" s="1" t="s">
        <v>5</v>
      </c>
      <c r="H60" s="1" t="s">
        <v>6</v>
      </c>
      <c r="I60" s="1" t="s">
        <v>7</v>
      </c>
    </row>
    <row r="61" spans="2:10" x14ac:dyDescent="0.25">
      <c r="B61" s="1"/>
      <c r="C61" s="1"/>
      <c r="D61" s="1"/>
      <c r="E61" s="1"/>
      <c r="F61" s="1"/>
      <c r="G61" s="1"/>
      <c r="H61" s="1"/>
      <c r="I61" s="1"/>
    </row>
    <row r="62" spans="2:10" x14ac:dyDescent="0.25">
      <c r="B62" s="17" t="s">
        <v>177</v>
      </c>
      <c r="C62" s="21" t="s">
        <v>19</v>
      </c>
      <c r="D62" s="18" t="s">
        <v>178</v>
      </c>
      <c r="E62" s="12">
        <v>1</v>
      </c>
      <c r="F62" s="12">
        <v>473117</v>
      </c>
      <c r="G62" s="5">
        <v>160.19999999999999</v>
      </c>
      <c r="H62" s="20">
        <v>0.05</v>
      </c>
      <c r="I62" s="5">
        <f t="shared" ref="I62:I63" si="16">G62*H62</f>
        <v>8.01</v>
      </c>
    </row>
    <row r="63" spans="2:10" ht="15.75" thickBot="1" x14ac:dyDescent="0.3">
      <c r="B63" s="17" t="s">
        <v>177</v>
      </c>
      <c r="C63" s="21" t="s">
        <v>19</v>
      </c>
      <c r="D63" s="18" t="s">
        <v>178</v>
      </c>
      <c r="E63" s="12">
        <v>1</v>
      </c>
      <c r="F63" s="12">
        <v>466666</v>
      </c>
      <c r="G63" s="19">
        <v>500</v>
      </c>
      <c r="H63" s="20">
        <v>0.05</v>
      </c>
      <c r="I63" s="5">
        <f t="shared" si="16"/>
        <v>25</v>
      </c>
    </row>
    <row r="64" spans="2:10" ht="15.75" thickBot="1" x14ac:dyDescent="0.3">
      <c r="B64" s="114" t="s">
        <v>9</v>
      </c>
      <c r="C64" s="115"/>
      <c r="D64" s="115"/>
      <c r="E64" s="115"/>
      <c r="F64" s="115"/>
      <c r="G64" s="115"/>
      <c r="H64" s="116"/>
      <c r="I64" s="9">
        <f>SUM(I62:I63)</f>
        <v>33.01</v>
      </c>
      <c r="J64" s="13">
        <f>+I64</f>
        <v>33.01</v>
      </c>
    </row>
  </sheetData>
  <mergeCells count="18">
    <mergeCell ref="B43:I43"/>
    <mergeCell ref="B46:H46"/>
    <mergeCell ref="B58:I58"/>
    <mergeCell ref="B59:I59"/>
    <mergeCell ref="B64:H64"/>
    <mergeCell ref="B50:I50"/>
    <mergeCell ref="B51:I51"/>
    <mergeCell ref="B55:H55"/>
    <mergeCell ref="B40:H40"/>
    <mergeCell ref="B42:I42"/>
    <mergeCell ref="B3:I3"/>
    <mergeCell ref="B4:I4"/>
    <mergeCell ref="B14:H14"/>
    <mergeCell ref="B30:I30"/>
    <mergeCell ref="B31:I31"/>
    <mergeCell ref="B17:I17"/>
    <mergeCell ref="B18:I18"/>
    <mergeCell ref="B27:H27"/>
  </mergeCells>
  <pageMargins left="0.7" right="0.7" top="0.75" bottom="0.75" header="0.3" footer="0.3"/>
  <pageSetup paperSize="9" scale="60" fitToHeight="0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ACE3-E4B6-4E8D-A8CB-F2F2E6D24D15}">
  <dimension ref="B3:J21"/>
  <sheetViews>
    <sheetView topLeftCell="A19" workbookViewId="0">
      <selection activeCell="J19" sqref="J19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35</v>
      </c>
      <c r="C6" s="2" t="s">
        <v>19</v>
      </c>
      <c r="D6" s="4" t="s">
        <v>40</v>
      </c>
      <c r="E6" s="4">
        <v>6</v>
      </c>
      <c r="F6" s="4">
        <v>413056</v>
      </c>
      <c r="G6" s="5">
        <v>1394</v>
      </c>
      <c r="H6" s="3">
        <v>0.05</v>
      </c>
      <c r="I6" s="5">
        <f t="shared" ref="I6:I8" si="0">G6*H6</f>
        <v>69.7</v>
      </c>
    </row>
    <row r="7" spans="2:10" x14ac:dyDescent="0.25">
      <c r="B7" s="2"/>
      <c r="C7" s="2"/>
      <c r="D7" s="4"/>
      <c r="E7" s="4"/>
      <c r="F7" s="4"/>
      <c r="G7" s="5"/>
      <c r="H7" s="3">
        <v>0.03</v>
      </c>
      <c r="I7" s="5">
        <f t="shared" si="0"/>
        <v>0</v>
      </c>
    </row>
    <row r="8" spans="2:10" x14ac:dyDescent="0.25">
      <c r="B8" s="2"/>
      <c r="C8" s="2"/>
      <c r="D8" s="6"/>
      <c r="E8" s="4"/>
      <c r="F8" s="4"/>
      <c r="G8" s="5"/>
      <c r="H8" s="3">
        <v>0.03</v>
      </c>
      <c r="I8" s="5">
        <f t="shared" si="0"/>
        <v>0</v>
      </c>
    </row>
    <row r="9" spans="2:10" x14ac:dyDescent="0.25">
      <c r="B9" s="2"/>
      <c r="C9" s="2"/>
      <c r="D9" s="4"/>
      <c r="E9" s="4"/>
      <c r="F9" s="4"/>
      <c r="G9" s="5"/>
      <c r="H9" s="3"/>
      <c r="I9" s="5"/>
    </row>
    <row r="10" spans="2:10" x14ac:dyDescent="0.25">
      <c r="B10" s="2"/>
      <c r="C10" s="2"/>
      <c r="D10" s="4"/>
      <c r="E10" s="4"/>
      <c r="F10" s="4"/>
      <c r="G10" s="5"/>
      <c r="H10" s="3"/>
      <c r="I10" s="5"/>
    </row>
    <row r="11" spans="2:10" x14ac:dyDescent="0.25">
      <c r="B11" s="2"/>
      <c r="C11" s="2"/>
      <c r="D11" s="4"/>
      <c r="E11" s="4"/>
      <c r="F11" s="4"/>
      <c r="G11" s="5"/>
      <c r="H11" s="3"/>
      <c r="I11" s="5"/>
    </row>
    <row r="12" spans="2:10" ht="15.75" thickBot="1" x14ac:dyDescent="0.3">
      <c r="B12" s="2"/>
      <c r="C12" s="2"/>
      <c r="D12" s="4"/>
      <c r="E12" s="4"/>
      <c r="F12" s="4"/>
      <c r="G12" s="5"/>
      <c r="H12" s="3"/>
      <c r="I12" s="5"/>
    </row>
    <row r="13" spans="2:10" ht="15.75" thickBot="1" x14ac:dyDescent="0.3">
      <c r="B13" s="114" t="s">
        <v>9</v>
      </c>
      <c r="C13" s="115"/>
      <c r="D13" s="115"/>
      <c r="E13" s="115"/>
      <c r="F13" s="115"/>
      <c r="G13" s="115"/>
      <c r="H13" s="116"/>
      <c r="I13" s="7">
        <f>SUM(I6:I8)</f>
        <v>69.7</v>
      </c>
      <c r="J13" s="13">
        <f>+I13</f>
        <v>69.7</v>
      </c>
    </row>
    <row r="14" spans="2:10" ht="16.5" customHeight="1" x14ac:dyDescent="0.25"/>
    <row r="15" spans="2:10" ht="16.5" customHeight="1" x14ac:dyDescent="0.25"/>
    <row r="17" spans="2:10" x14ac:dyDescent="0.25">
      <c r="B17" s="117" t="s">
        <v>0</v>
      </c>
      <c r="C17" s="117"/>
      <c r="D17" s="117"/>
      <c r="E17" s="117"/>
      <c r="F17" s="117"/>
      <c r="G17" s="117"/>
      <c r="H17" s="117"/>
      <c r="I17" s="117"/>
    </row>
    <row r="18" spans="2:10" x14ac:dyDescent="0.25">
      <c r="B18" s="118" t="s">
        <v>13</v>
      </c>
      <c r="C18" s="118"/>
      <c r="D18" s="118"/>
      <c r="E18" s="118"/>
      <c r="F18" s="118"/>
      <c r="G18" s="118"/>
      <c r="H18" s="118"/>
      <c r="I18" s="118"/>
    </row>
    <row r="19" spans="2:10" ht="60" x14ac:dyDescent="0.25">
      <c r="B19" s="1" t="s">
        <v>1</v>
      </c>
      <c r="C19" s="1" t="s">
        <v>3</v>
      </c>
      <c r="D19" s="1" t="s">
        <v>2</v>
      </c>
      <c r="E19" s="1" t="s">
        <v>8</v>
      </c>
      <c r="F19" s="1" t="s">
        <v>12</v>
      </c>
      <c r="G19" s="1" t="s">
        <v>5</v>
      </c>
      <c r="H19" s="1" t="s">
        <v>6</v>
      </c>
      <c r="I19" s="1" t="s">
        <v>7</v>
      </c>
    </row>
    <row r="20" spans="2:10" ht="15.75" thickBot="1" x14ac:dyDescent="0.3">
      <c r="B20" s="2" t="s">
        <v>36</v>
      </c>
      <c r="C20" s="4" t="s">
        <v>22</v>
      </c>
      <c r="D20" s="4">
        <v>3</v>
      </c>
      <c r="E20" s="4">
        <v>19</v>
      </c>
      <c r="F20" s="4">
        <v>738</v>
      </c>
      <c r="G20" s="5">
        <v>798</v>
      </c>
      <c r="H20" s="3">
        <v>0.05</v>
      </c>
      <c r="I20" s="5">
        <f t="shared" ref="I20" si="1">G20*H20</f>
        <v>39.900000000000006</v>
      </c>
    </row>
    <row r="21" spans="2:10" ht="15.75" thickBot="1" x14ac:dyDescent="0.3">
      <c r="B21" s="114" t="s">
        <v>9</v>
      </c>
      <c r="C21" s="115"/>
      <c r="D21" s="115"/>
      <c r="E21" s="115"/>
      <c r="F21" s="115"/>
      <c r="G21" s="115"/>
      <c r="H21" s="116"/>
      <c r="I21" s="9">
        <f>SUM(I20:I20)</f>
        <v>39.900000000000006</v>
      </c>
      <c r="J21" s="13">
        <f>+I21</f>
        <v>39.900000000000006</v>
      </c>
    </row>
  </sheetData>
  <mergeCells count="6">
    <mergeCell ref="B21:H21"/>
    <mergeCell ref="B3:I3"/>
    <mergeCell ref="B4:I4"/>
    <mergeCell ref="B13:H13"/>
    <mergeCell ref="B17:I17"/>
    <mergeCell ref="B18:I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7B7F-5E8D-4E93-BD7B-115548FE11B7}">
  <sheetPr>
    <pageSetUpPr fitToPage="1"/>
  </sheetPr>
  <dimension ref="B3:J9"/>
  <sheetViews>
    <sheetView workbookViewId="0">
      <selection activeCell="C20" sqref="C20"/>
    </sheetView>
  </sheetViews>
  <sheetFormatPr baseColWidth="10" defaultRowHeight="15" x14ac:dyDescent="0.25"/>
  <cols>
    <col min="1" max="1" width="5.28515625" customWidth="1"/>
    <col min="2" max="2" width="37.8554687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10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10" x14ac:dyDescent="0.25">
      <c r="B4" s="118" t="s">
        <v>14</v>
      </c>
      <c r="C4" s="118"/>
      <c r="D4" s="118"/>
      <c r="E4" s="118"/>
      <c r="F4" s="118"/>
      <c r="G4" s="118"/>
      <c r="H4" s="118"/>
      <c r="I4" s="118"/>
    </row>
    <row r="5" spans="2:10" ht="67.5" customHeight="1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10" x14ac:dyDescent="0.25">
      <c r="B6" s="2" t="s">
        <v>27</v>
      </c>
      <c r="C6" s="2" t="s">
        <v>16</v>
      </c>
      <c r="D6" s="4">
        <v>8</v>
      </c>
      <c r="E6" s="4">
        <v>1</v>
      </c>
      <c r="F6" s="4">
        <v>170</v>
      </c>
      <c r="G6" s="5">
        <v>869.1</v>
      </c>
      <c r="H6" s="3">
        <v>0.04</v>
      </c>
      <c r="I6" s="5">
        <f>G6*H6</f>
        <v>34.764000000000003</v>
      </c>
    </row>
    <row r="7" spans="2:10" x14ac:dyDescent="0.25">
      <c r="B7" s="2" t="s">
        <v>27</v>
      </c>
      <c r="C7" s="2" t="s">
        <v>16</v>
      </c>
      <c r="D7" s="4">
        <v>8</v>
      </c>
      <c r="E7" s="4">
        <v>1</v>
      </c>
      <c r="F7" s="4">
        <v>3953406</v>
      </c>
      <c r="G7" s="5">
        <v>369.1</v>
      </c>
      <c r="H7" s="3">
        <v>0.04</v>
      </c>
      <c r="I7" s="5">
        <f t="shared" ref="I7" si="0">G7*H7</f>
        <v>14.764000000000001</v>
      </c>
    </row>
    <row r="8" spans="2:10" ht="15.75" thickBot="1" x14ac:dyDescent="0.3">
      <c r="B8" s="2" t="s">
        <v>27</v>
      </c>
      <c r="C8" s="2" t="s">
        <v>16</v>
      </c>
      <c r="D8" s="4">
        <v>8</v>
      </c>
      <c r="E8" s="4">
        <v>1</v>
      </c>
      <c r="F8" s="4">
        <v>3940726</v>
      </c>
      <c r="G8" s="5">
        <v>500</v>
      </c>
      <c r="H8" s="3">
        <v>0.04</v>
      </c>
      <c r="I8" s="5">
        <f t="shared" ref="I8" si="1">G8*H8</f>
        <v>20</v>
      </c>
    </row>
    <row r="9" spans="2:10" ht="15.75" thickBot="1" x14ac:dyDescent="0.3">
      <c r="B9" s="114" t="s">
        <v>9</v>
      </c>
      <c r="C9" s="115"/>
      <c r="D9" s="115"/>
      <c r="E9" s="115"/>
      <c r="F9" s="115"/>
      <c r="G9" s="115"/>
      <c r="H9" s="116"/>
      <c r="I9" s="7">
        <f>SUM(I6:I8)</f>
        <v>69.528000000000006</v>
      </c>
      <c r="J9" s="13">
        <f>+I9</f>
        <v>69.528000000000006</v>
      </c>
    </row>
  </sheetData>
  <mergeCells count="3">
    <mergeCell ref="B3:I3"/>
    <mergeCell ref="B4:I4"/>
    <mergeCell ref="B9:H9"/>
  </mergeCells>
  <pageMargins left="0.7" right="0.7" top="0.75" bottom="0.75" header="0.3" footer="0.3"/>
  <pageSetup scale="65" fitToHeight="0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0ED3-9117-4E42-BB40-26D2D5944FD6}">
  <sheetPr>
    <pageSetUpPr fitToPage="1"/>
  </sheetPr>
  <dimension ref="B3:J31"/>
  <sheetViews>
    <sheetView topLeftCell="A4" workbookViewId="0">
      <selection activeCell="B16" sqref="B16:H16"/>
    </sheetView>
  </sheetViews>
  <sheetFormatPr baseColWidth="10" defaultRowHeight="15" x14ac:dyDescent="0.25"/>
  <cols>
    <col min="1" max="1" width="5.28515625" customWidth="1"/>
    <col min="2" max="2" width="42.140625" customWidth="1"/>
    <col min="3" max="3" width="5.7109375" customWidth="1"/>
    <col min="4" max="4" width="7.140625" customWidth="1"/>
    <col min="5" max="5" width="9.28515625" customWidth="1"/>
    <col min="6" max="6" width="19" customWidth="1"/>
    <col min="7" max="7" width="13.7109375" customWidth="1"/>
    <col min="8" max="8" width="13.28515625" customWidth="1"/>
    <col min="9" max="9" width="16" customWidth="1"/>
  </cols>
  <sheetData>
    <row r="3" spans="2:9" x14ac:dyDescent="0.25">
      <c r="B3" s="117" t="s">
        <v>0</v>
      </c>
      <c r="C3" s="117"/>
      <c r="D3" s="117"/>
      <c r="E3" s="117"/>
      <c r="F3" s="117"/>
      <c r="G3" s="117"/>
      <c r="H3" s="117"/>
      <c r="I3" s="117"/>
    </row>
    <row r="4" spans="2:9" x14ac:dyDescent="0.25">
      <c r="B4" s="118" t="s">
        <v>74</v>
      </c>
      <c r="C4" s="118"/>
      <c r="D4" s="118"/>
      <c r="E4" s="118"/>
      <c r="F4" s="118"/>
      <c r="G4" s="118"/>
      <c r="H4" s="118"/>
      <c r="I4" s="118"/>
    </row>
    <row r="5" spans="2:9" ht="60" x14ac:dyDescent="0.25">
      <c r="B5" s="1" t="s">
        <v>1</v>
      </c>
      <c r="C5" s="1" t="s">
        <v>3</v>
      </c>
      <c r="D5" s="1" t="s">
        <v>2</v>
      </c>
      <c r="E5" s="1" t="s">
        <v>8</v>
      </c>
      <c r="F5" s="1" t="s">
        <v>12</v>
      </c>
      <c r="G5" s="1" t="s">
        <v>5</v>
      </c>
      <c r="H5" s="1" t="s">
        <v>6</v>
      </c>
      <c r="I5" s="1" t="s">
        <v>7</v>
      </c>
    </row>
    <row r="6" spans="2:9" x14ac:dyDescent="0.25">
      <c r="B6" s="2" t="s">
        <v>66</v>
      </c>
      <c r="C6" s="4" t="s">
        <v>16</v>
      </c>
      <c r="D6" s="4" t="s">
        <v>67</v>
      </c>
      <c r="E6" s="4" t="s">
        <v>24</v>
      </c>
      <c r="F6" s="4">
        <v>1853</v>
      </c>
      <c r="G6" s="5">
        <v>3000</v>
      </c>
      <c r="H6" s="3">
        <v>0.02</v>
      </c>
      <c r="I6" s="5">
        <f t="shared" ref="I6:I13" si="0">G6*H6</f>
        <v>60</v>
      </c>
    </row>
    <row r="7" spans="2:9" x14ac:dyDescent="0.25">
      <c r="B7" s="2" t="s">
        <v>68</v>
      </c>
      <c r="C7" s="4" t="s">
        <v>48</v>
      </c>
      <c r="D7" s="4">
        <v>8</v>
      </c>
      <c r="E7" s="4" t="s">
        <v>24</v>
      </c>
      <c r="F7" s="4">
        <v>8377</v>
      </c>
      <c r="G7" s="5">
        <v>1500</v>
      </c>
      <c r="H7" s="3">
        <v>0.02</v>
      </c>
      <c r="I7" s="5">
        <f t="shared" si="0"/>
        <v>30</v>
      </c>
    </row>
    <row r="8" spans="2:9" x14ac:dyDescent="0.25">
      <c r="B8" s="2" t="s">
        <v>68</v>
      </c>
      <c r="C8" s="4" t="s">
        <v>48</v>
      </c>
      <c r="D8" s="4">
        <v>8</v>
      </c>
      <c r="E8" s="4" t="s">
        <v>21</v>
      </c>
      <c r="F8" s="4">
        <v>8377</v>
      </c>
      <c r="G8" s="5">
        <v>1000</v>
      </c>
      <c r="H8" s="3">
        <v>0.3</v>
      </c>
      <c r="I8" s="5">
        <f t="shared" si="0"/>
        <v>300</v>
      </c>
    </row>
    <row r="9" spans="2:9" x14ac:dyDescent="0.25">
      <c r="B9" s="2" t="s">
        <v>69</v>
      </c>
      <c r="C9" s="4" t="s">
        <v>48</v>
      </c>
      <c r="D9" s="4">
        <v>1</v>
      </c>
      <c r="E9" s="4" t="s">
        <v>24</v>
      </c>
      <c r="F9" s="4">
        <v>3128890</v>
      </c>
      <c r="G9" s="5">
        <v>1500</v>
      </c>
      <c r="H9" s="3">
        <v>0.04</v>
      </c>
      <c r="I9" s="5">
        <f t="shared" si="0"/>
        <v>60</v>
      </c>
    </row>
    <row r="10" spans="2:9" x14ac:dyDescent="0.25">
      <c r="B10" s="2" t="s">
        <v>69</v>
      </c>
      <c r="C10" s="4" t="s">
        <v>48</v>
      </c>
      <c r="D10" s="4">
        <v>1</v>
      </c>
      <c r="E10" s="4" t="s">
        <v>21</v>
      </c>
      <c r="F10" s="4">
        <v>3128890</v>
      </c>
      <c r="G10" s="5">
        <v>1000</v>
      </c>
      <c r="H10" s="3">
        <v>0.3</v>
      </c>
      <c r="I10" s="5">
        <f t="shared" si="0"/>
        <v>300</v>
      </c>
    </row>
    <row r="11" spans="2:9" x14ac:dyDescent="0.25">
      <c r="B11" s="2" t="s">
        <v>70</v>
      </c>
      <c r="C11" s="4" t="s">
        <v>29</v>
      </c>
      <c r="D11" s="4">
        <v>5</v>
      </c>
      <c r="E11" s="4">
        <v>4</v>
      </c>
      <c r="F11" s="4">
        <v>86106</v>
      </c>
      <c r="G11" s="5">
        <v>910</v>
      </c>
      <c r="H11" s="3">
        <v>0.02</v>
      </c>
      <c r="I11" s="5">
        <f t="shared" si="0"/>
        <v>18.2</v>
      </c>
    </row>
    <row r="12" spans="2:9" x14ac:dyDescent="0.25">
      <c r="B12" s="2" t="s">
        <v>71</v>
      </c>
      <c r="C12" s="4" t="s">
        <v>20</v>
      </c>
      <c r="D12" s="4">
        <v>3</v>
      </c>
      <c r="E12" s="4">
        <v>4</v>
      </c>
      <c r="F12" s="4">
        <v>1862</v>
      </c>
      <c r="G12" s="5">
        <v>5000</v>
      </c>
      <c r="H12" s="3">
        <v>0.02</v>
      </c>
      <c r="I12" s="5">
        <f t="shared" si="0"/>
        <v>100</v>
      </c>
    </row>
    <row r="13" spans="2:9" x14ac:dyDescent="0.25">
      <c r="B13" s="2" t="s">
        <v>72</v>
      </c>
      <c r="C13" s="4" t="s">
        <v>4</v>
      </c>
      <c r="D13" s="4">
        <v>5</v>
      </c>
      <c r="E13" s="4" t="s">
        <v>24</v>
      </c>
      <c r="F13" s="4">
        <v>1923</v>
      </c>
      <c r="G13" s="5">
        <v>300</v>
      </c>
      <c r="H13" s="3">
        <v>0.04</v>
      </c>
      <c r="I13" s="5">
        <f t="shared" si="0"/>
        <v>12</v>
      </c>
    </row>
    <row r="14" spans="2:9" x14ac:dyDescent="0.25">
      <c r="B14" s="2" t="s">
        <v>72</v>
      </c>
      <c r="C14" s="4" t="s">
        <v>4</v>
      </c>
      <c r="D14" s="4">
        <v>5</v>
      </c>
      <c r="E14" s="4" t="s">
        <v>21</v>
      </c>
      <c r="F14" s="4">
        <v>1923</v>
      </c>
      <c r="G14" s="5">
        <v>1000</v>
      </c>
      <c r="H14" s="3">
        <v>0.3</v>
      </c>
      <c r="I14" s="5">
        <f t="shared" ref="I14" si="1">G14*H14</f>
        <v>300</v>
      </c>
    </row>
    <row r="15" spans="2:9" x14ac:dyDescent="0.25">
      <c r="B15" s="17"/>
      <c r="C15" s="12"/>
      <c r="D15" s="12"/>
      <c r="E15" s="12"/>
      <c r="F15" s="12"/>
      <c r="G15" s="19"/>
      <c r="H15" s="20"/>
      <c r="I15" s="5"/>
    </row>
    <row r="16" spans="2:9" x14ac:dyDescent="0.25">
      <c r="B16" s="114" t="s">
        <v>9</v>
      </c>
      <c r="C16" s="115"/>
      <c r="D16" s="115"/>
      <c r="E16" s="115"/>
      <c r="F16" s="115"/>
      <c r="G16" s="115"/>
      <c r="H16" s="116"/>
      <c r="I16" s="14">
        <f>SUM(I6:I15)</f>
        <v>1180.2</v>
      </c>
    </row>
    <row r="18" spans="2:10" x14ac:dyDescent="0.25">
      <c r="B18" s="143" t="s">
        <v>73</v>
      </c>
      <c r="C18" s="143"/>
      <c r="D18" s="143"/>
      <c r="E18" s="143"/>
      <c r="F18" s="143"/>
      <c r="G18" s="143"/>
      <c r="H18" s="143"/>
      <c r="I18" s="143"/>
    </row>
    <row r="19" spans="2:10" x14ac:dyDescent="0.25">
      <c r="B19" s="2" t="s">
        <v>56</v>
      </c>
      <c r="C19" s="2" t="s">
        <v>20</v>
      </c>
      <c r="D19" s="4">
        <v>14</v>
      </c>
      <c r="E19" s="4" t="s">
        <v>26</v>
      </c>
      <c r="F19" s="4">
        <v>1631</v>
      </c>
      <c r="G19" s="5">
        <v>5000</v>
      </c>
      <c r="H19" s="3">
        <v>0.01</v>
      </c>
      <c r="I19" s="5">
        <f t="shared" ref="I19:I29" si="2">G19*H19</f>
        <v>50</v>
      </c>
    </row>
    <row r="20" spans="2:10" x14ac:dyDescent="0.25">
      <c r="B20" s="2" t="s">
        <v>56</v>
      </c>
      <c r="C20" s="2" t="s">
        <v>20</v>
      </c>
      <c r="D20" s="4">
        <v>14</v>
      </c>
      <c r="E20" s="4">
        <v>1</v>
      </c>
      <c r="F20" s="4">
        <v>1784</v>
      </c>
      <c r="G20" s="5">
        <v>1535.5</v>
      </c>
      <c r="H20" s="3">
        <v>0.01</v>
      </c>
      <c r="I20" s="5">
        <f t="shared" si="2"/>
        <v>15.355</v>
      </c>
    </row>
    <row r="21" spans="2:10" x14ac:dyDescent="0.25">
      <c r="B21" s="2" t="s">
        <v>57</v>
      </c>
      <c r="C21" s="2" t="s">
        <v>4</v>
      </c>
      <c r="D21" s="6" t="s">
        <v>58</v>
      </c>
      <c r="E21" s="4" t="s">
        <v>26</v>
      </c>
      <c r="F21" s="4">
        <v>1796</v>
      </c>
      <c r="G21" s="5">
        <v>10000</v>
      </c>
      <c r="H21" s="3">
        <v>0.01</v>
      </c>
      <c r="I21" s="5">
        <f t="shared" si="2"/>
        <v>100</v>
      </c>
    </row>
    <row r="22" spans="2:10" x14ac:dyDescent="0.25">
      <c r="B22" s="2" t="s">
        <v>59</v>
      </c>
      <c r="C22" s="2" t="s">
        <v>19</v>
      </c>
      <c r="D22" s="4">
        <v>23</v>
      </c>
      <c r="E22" s="4">
        <v>1</v>
      </c>
      <c r="F22" s="4">
        <v>1806</v>
      </c>
      <c r="G22" s="5">
        <v>823.4</v>
      </c>
      <c r="H22" s="3">
        <v>0.01</v>
      </c>
      <c r="I22" s="5">
        <f t="shared" si="2"/>
        <v>8.234</v>
      </c>
    </row>
    <row r="23" spans="2:10" x14ac:dyDescent="0.25">
      <c r="B23" s="2" t="s">
        <v>60</v>
      </c>
      <c r="C23" s="2" t="s">
        <v>25</v>
      </c>
      <c r="D23" s="4">
        <v>6</v>
      </c>
      <c r="E23" s="4" t="s">
        <v>26</v>
      </c>
      <c r="F23" s="4">
        <v>1061</v>
      </c>
      <c r="G23" s="5">
        <v>10000</v>
      </c>
      <c r="H23" s="3">
        <v>0.01</v>
      </c>
      <c r="I23" s="5">
        <f t="shared" si="2"/>
        <v>100</v>
      </c>
    </row>
    <row r="24" spans="2:10" x14ac:dyDescent="0.25">
      <c r="B24" s="2" t="s">
        <v>61</v>
      </c>
      <c r="C24" s="2" t="s">
        <v>62</v>
      </c>
      <c r="D24" s="4">
        <v>9</v>
      </c>
      <c r="E24" s="4">
        <v>1</v>
      </c>
      <c r="F24" s="4">
        <v>12</v>
      </c>
      <c r="G24" s="5">
        <v>911</v>
      </c>
      <c r="H24" s="3">
        <v>0.01</v>
      </c>
      <c r="I24" s="5">
        <f t="shared" si="2"/>
        <v>9.11</v>
      </c>
    </row>
    <row r="25" spans="2:10" x14ac:dyDescent="0.25">
      <c r="B25" s="2" t="s">
        <v>64</v>
      </c>
      <c r="C25" s="2" t="s">
        <v>48</v>
      </c>
      <c r="D25" s="4">
        <v>3</v>
      </c>
      <c r="E25" s="4" t="s">
        <v>26</v>
      </c>
      <c r="F25" s="4">
        <v>40231025</v>
      </c>
      <c r="G25" s="5">
        <v>9000</v>
      </c>
      <c r="H25" s="3">
        <v>0.01</v>
      </c>
      <c r="I25" s="5">
        <f t="shared" si="2"/>
        <v>90</v>
      </c>
    </row>
    <row r="26" spans="2:10" x14ac:dyDescent="0.25">
      <c r="B26" s="2" t="s">
        <v>63</v>
      </c>
      <c r="C26" s="2" t="s">
        <v>48</v>
      </c>
      <c r="D26" s="4">
        <v>4</v>
      </c>
      <c r="E26" s="4" t="s">
        <v>26</v>
      </c>
      <c r="F26" s="4" t="s">
        <v>65</v>
      </c>
      <c r="G26" s="5">
        <v>9000</v>
      </c>
      <c r="H26" s="3">
        <v>0.01</v>
      </c>
      <c r="I26" s="5">
        <f t="shared" si="2"/>
        <v>90</v>
      </c>
    </row>
    <row r="27" spans="2:10" x14ac:dyDescent="0.25">
      <c r="B27" s="2" t="s">
        <v>57</v>
      </c>
      <c r="C27" s="2" t="s">
        <v>4</v>
      </c>
      <c r="D27" s="4">
        <v>9</v>
      </c>
      <c r="E27" s="4">
        <v>1</v>
      </c>
      <c r="F27" s="4">
        <v>1937</v>
      </c>
      <c r="G27" s="5">
        <v>465</v>
      </c>
      <c r="H27" s="3">
        <v>0.01</v>
      </c>
      <c r="I27" s="5">
        <f t="shared" si="2"/>
        <v>4.6500000000000004</v>
      </c>
    </row>
    <row r="28" spans="2:10" x14ac:dyDescent="0.25">
      <c r="B28" s="2" t="s">
        <v>57</v>
      </c>
      <c r="C28" s="2" t="s">
        <v>4</v>
      </c>
      <c r="D28" s="4">
        <v>9</v>
      </c>
      <c r="E28" s="4">
        <v>1</v>
      </c>
      <c r="F28" s="4">
        <v>1933</v>
      </c>
      <c r="G28" s="5">
        <v>1000</v>
      </c>
      <c r="H28" s="3">
        <v>0.01</v>
      </c>
      <c r="I28" s="5">
        <f t="shared" si="2"/>
        <v>10</v>
      </c>
    </row>
    <row r="29" spans="2:10" x14ac:dyDescent="0.25">
      <c r="B29" s="2" t="s">
        <v>57</v>
      </c>
      <c r="C29" s="2" t="s">
        <v>4</v>
      </c>
      <c r="D29" s="4">
        <v>9</v>
      </c>
      <c r="E29" s="4">
        <v>1</v>
      </c>
      <c r="F29" s="4">
        <v>1935</v>
      </c>
      <c r="G29" s="5">
        <v>1000</v>
      </c>
      <c r="H29" s="3">
        <v>0.01</v>
      </c>
      <c r="I29" s="5">
        <f t="shared" si="2"/>
        <v>10</v>
      </c>
    </row>
    <row r="30" spans="2:10" x14ac:dyDescent="0.25">
      <c r="I30" s="15">
        <f>SUM(I19:I29)</f>
        <v>487.34900000000005</v>
      </c>
    </row>
    <row r="31" spans="2:10" x14ac:dyDescent="0.25">
      <c r="J31" s="16">
        <f>SUM(I16+I30)</f>
        <v>1667.549</v>
      </c>
    </row>
  </sheetData>
  <mergeCells count="4">
    <mergeCell ref="B18:I18"/>
    <mergeCell ref="B3:I3"/>
    <mergeCell ref="B4:I4"/>
    <mergeCell ref="B16:H16"/>
  </mergeCells>
  <pageMargins left="0.7" right="0.7" top="0.75" bottom="0.75" header="0.3" footer="0.3"/>
  <pageSetup scale="63" fitToHeight="0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F318-5DCD-4F26-95D6-BC5682DDDD73}">
  <dimension ref="C3:C23"/>
  <sheetViews>
    <sheetView workbookViewId="0">
      <selection activeCell="D2" sqref="D2"/>
    </sheetView>
  </sheetViews>
  <sheetFormatPr baseColWidth="10" defaultRowHeight="15" x14ac:dyDescent="0.25"/>
  <sheetData>
    <row r="3" spans="3:3" ht="15.75" thickBot="1" x14ac:dyDescent="0.3"/>
    <row r="4" spans="3:3" ht="15.75" thickBot="1" x14ac:dyDescent="0.3">
      <c r="C4" s="29">
        <v>1200</v>
      </c>
    </row>
    <row r="5" spans="3:3" ht="16.5" thickTop="1" thickBot="1" x14ac:dyDescent="0.3">
      <c r="C5" s="30">
        <v>1050</v>
      </c>
    </row>
    <row r="6" spans="3:3" ht="15.75" thickBot="1" x14ac:dyDescent="0.3">
      <c r="C6" s="30">
        <v>1200</v>
      </c>
    </row>
    <row r="7" spans="3:3" ht="15.75" thickBot="1" x14ac:dyDescent="0.3">
      <c r="C7" s="30">
        <v>1200</v>
      </c>
    </row>
    <row r="8" spans="3:3" ht="15.75" thickBot="1" x14ac:dyDescent="0.3">
      <c r="C8" s="30">
        <v>1050</v>
      </c>
    </row>
    <row r="9" spans="3:3" ht="15.75" thickBot="1" x14ac:dyDescent="0.3">
      <c r="C9" s="30">
        <v>1200</v>
      </c>
    </row>
    <row r="10" spans="3:3" ht="15.75" thickBot="1" x14ac:dyDescent="0.3">
      <c r="C10" s="30">
        <v>1200</v>
      </c>
    </row>
    <row r="11" spans="3:3" ht="15.75" thickBot="1" x14ac:dyDescent="0.3">
      <c r="C11" s="30">
        <v>4325</v>
      </c>
    </row>
    <row r="12" spans="3:3" ht="15.75" thickBot="1" x14ac:dyDescent="0.3">
      <c r="C12" s="30">
        <v>6237</v>
      </c>
    </row>
    <row r="13" spans="3:3" ht="15.75" thickBot="1" x14ac:dyDescent="0.3">
      <c r="C13" s="30">
        <v>1200</v>
      </c>
    </row>
    <row r="14" spans="3:3" ht="15.75" thickBot="1" x14ac:dyDescent="0.3">
      <c r="C14" s="31">
        <v>150</v>
      </c>
    </row>
    <row r="15" spans="3:3" ht="15.75" thickBot="1" x14ac:dyDescent="0.3">
      <c r="C15" s="31">
        <v>300</v>
      </c>
    </row>
    <row r="16" spans="3:3" ht="15.75" thickBot="1" x14ac:dyDescent="0.3">
      <c r="C16" s="31">
        <v>300</v>
      </c>
    </row>
    <row r="17" spans="3:3" ht="15.75" thickBot="1" x14ac:dyDescent="0.3">
      <c r="C17" s="30">
        <v>1200</v>
      </c>
    </row>
    <row r="18" spans="3:3" ht="15.75" thickBot="1" x14ac:dyDescent="0.3">
      <c r="C18" s="31">
        <v>150</v>
      </c>
    </row>
    <row r="19" spans="3:3" ht="15.75" thickBot="1" x14ac:dyDescent="0.3">
      <c r="C19" s="30">
        <v>1975</v>
      </c>
    </row>
    <row r="20" spans="3:3" ht="15.75" thickBot="1" x14ac:dyDescent="0.3">
      <c r="C20" s="30">
        <v>1875</v>
      </c>
    </row>
    <row r="21" spans="3:3" ht="15.75" thickBot="1" x14ac:dyDescent="0.3">
      <c r="C21" s="30">
        <v>2349</v>
      </c>
    </row>
    <row r="22" spans="3:3" ht="15.75" thickBot="1" x14ac:dyDescent="0.3">
      <c r="C22" s="30">
        <v>1300</v>
      </c>
    </row>
    <row r="23" spans="3:3" x14ac:dyDescent="0.25">
      <c r="C23" s="28">
        <f>SUM(C4:C22)</f>
        <v>29461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D1</vt:lpstr>
      <vt:lpstr>D2</vt:lpstr>
      <vt:lpstr>Hoja2</vt:lpstr>
      <vt:lpstr>ALFREDO</vt:lpstr>
      <vt:lpstr>BELI</vt:lpstr>
      <vt:lpstr>JORDY</vt:lpstr>
      <vt:lpstr>BRISLENDA</vt:lpstr>
      <vt:lpstr>YOSI</vt:lpstr>
      <vt:lpstr>LIDIA</vt:lpstr>
      <vt:lpstr>JENNY</vt:lpstr>
      <vt:lpstr>EDEN</vt:lpstr>
      <vt:lpstr>ALE</vt:lpstr>
      <vt:lpstr>VICTOR</vt:lpstr>
      <vt:lpstr>HUDILUNIA</vt:lpstr>
      <vt:lpstr>YANDIRA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2026-04-14T00:10:49Z</cp:lastPrinted>
  <dcterms:created xsi:type="dcterms:W3CDTF">2024-12-02T23:00:09Z</dcterms:created>
  <dcterms:modified xsi:type="dcterms:W3CDTF">2026-04-14T15:41:03Z</dcterms:modified>
</cp:coreProperties>
</file>